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blake\Desktop\"/>
    </mc:Choice>
  </mc:AlternateContent>
  <xr:revisionPtr revIDLastSave="0" documentId="8_{0212F4D0-0064-4EC2-AC1B-47F3D2B3304D}" xr6:coauthVersionLast="47" xr6:coauthVersionMax="47" xr10:uidLastSave="{00000000-0000-0000-0000-000000000000}"/>
  <bookViews>
    <workbookView xWindow="-108" yWindow="-108" windowWidth="41496" windowHeight="16776" activeTab="8" xr2:uid="{00000000-000D-0000-FFFF-FFFF00000000}"/>
  </bookViews>
  <sheets>
    <sheet name="START HERE" sheetId="1" r:id="rId1"/>
    <sheet name="Project Setup" sheetId="2" r:id="rId2"/>
    <sheet name="BUDGET" sheetId="3" r:id="rId3"/>
    <sheet name="QB JOB COST IMPORT" sheetId="4" r:id="rId4"/>
    <sheet name="COST RECONCILIATION" sheetId="5" r:id="rId5"/>
    <sheet name="DRAW HISTORY" sheetId="6" r:id="rId6"/>
    <sheet name="ESTIMATE" sheetId="7" r:id="rId7"/>
    <sheet name="INVOICE" sheetId="8" r:id="rId8"/>
    <sheet name="INVOICE DETAIL" sheetId="9" r:id="rId9"/>
  </sheets>
  <definedNames>
    <definedName name="_xlnm.Print_Area" localSheetId="6">ESTIMATE!$A$1:$H$34</definedName>
    <definedName name="_xlnm.Print_Area" localSheetId="7">INVOICE!$A$1:$H$36</definedName>
    <definedName name="_xlnm.Print_Area" localSheetId="8">'INVOICE DETAIL'!$A$1:$G$118</definedName>
    <definedName name="_xlnm.Print_Titles" localSheetId="8">'INVOICE DETAIL'!$1:$5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9" l="1"/>
  <c r="H27" i="8"/>
  <c r="E25" i="8"/>
  <c r="A24" i="8"/>
  <c r="D12" i="8"/>
  <c r="A11" i="8"/>
  <c r="D10" i="8"/>
  <c r="A10" i="8"/>
  <c r="G9" i="8"/>
  <c r="D9" i="8"/>
  <c r="A9" i="8"/>
  <c r="G8" i="8"/>
  <c r="G7" i="8"/>
  <c r="G6" i="8"/>
  <c r="A4" i="8"/>
  <c r="F25" i="7"/>
  <c r="A24" i="7"/>
  <c r="D12" i="7"/>
  <c r="A11" i="7"/>
  <c r="D10" i="7"/>
  <c r="A10" i="7"/>
  <c r="D9" i="7"/>
  <c r="A9" i="7"/>
  <c r="G7" i="7"/>
  <c r="G6" i="7"/>
  <c r="A4" i="7"/>
  <c r="H118" i="5"/>
  <c r="F118" i="5" s="1"/>
  <c r="F118" i="9" s="1"/>
  <c r="E118" i="5"/>
  <c r="E118" i="9" s="1"/>
  <c r="B118" i="5"/>
  <c r="B118" i="9" s="1"/>
  <c r="A118" i="5"/>
  <c r="A118" i="9" s="1"/>
  <c r="H117" i="5"/>
  <c r="F117" i="5" s="1"/>
  <c r="F117" i="9" s="1"/>
  <c r="E117" i="5"/>
  <c r="B117" i="5"/>
  <c r="B117" i="9" s="1"/>
  <c r="A117" i="5"/>
  <c r="A117" i="9" s="1"/>
  <c r="H116" i="5"/>
  <c r="E116" i="5"/>
  <c r="E116" i="9" s="1"/>
  <c r="B116" i="5"/>
  <c r="B116" i="9" s="1"/>
  <c r="A116" i="5"/>
  <c r="A116" i="9" s="1"/>
  <c r="H115" i="5"/>
  <c r="E115" i="5"/>
  <c r="B115" i="5"/>
  <c r="B115" i="9" s="1"/>
  <c r="A115" i="5"/>
  <c r="A115" i="9" s="1"/>
  <c r="H114" i="5"/>
  <c r="E114" i="5"/>
  <c r="E114" i="9" s="1"/>
  <c r="B114" i="5"/>
  <c r="B114" i="9" s="1"/>
  <c r="A114" i="5"/>
  <c r="A114" i="9" s="1"/>
  <c r="H113" i="5"/>
  <c r="E113" i="5"/>
  <c r="B113" i="5"/>
  <c r="B113" i="9" s="1"/>
  <c r="A113" i="5"/>
  <c r="A113" i="9" s="1"/>
  <c r="H112" i="5"/>
  <c r="E112" i="5"/>
  <c r="B112" i="5"/>
  <c r="B112" i="9" s="1"/>
  <c r="A112" i="5"/>
  <c r="A112" i="9" s="1"/>
  <c r="H111" i="5"/>
  <c r="E111" i="5"/>
  <c r="B111" i="5"/>
  <c r="B111" i="9" s="1"/>
  <c r="A111" i="5"/>
  <c r="A111" i="9" s="1"/>
  <c r="H110" i="5"/>
  <c r="E110" i="5"/>
  <c r="E110" i="9" s="1"/>
  <c r="B110" i="5"/>
  <c r="B110" i="9" s="1"/>
  <c r="A110" i="5"/>
  <c r="A110" i="9" s="1"/>
  <c r="H109" i="5"/>
  <c r="E109" i="5"/>
  <c r="B109" i="5"/>
  <c r="B109" i="9" s="1"/>
  <c r="A109" i="5"/>
  <c r="A109" i="9" s="1"/>
  <c r="H108" i="5"/>
  <c r="E108" i="5"/>
  <c r="E108" i="9" s="1"/>
  <c r="B108" i="5"/>
  <c r="B108" i="9" s="1"/>
  <c r="A108" i="5"/>
  <c r="A108" i="9" s="1"/>
  <c r="H107" i="5"/>
  <c r="E107" i="5"/>
  <c r="B107" i="5"/>
  <c r="B107" i="9" s="1"/>
  <c r="A107" i="5"/>
  <c r="A107" i="9" s="1"/>
  <c r="H106" i="5"/>
  <c r="E106" i="5"/>
  <c r="E106" i="9" s="1"/>
  <c r="B106" i="5"/>
  <c r="B106" i="9" s="1"/>
  <c r="A106" i="5"/>
  <c r="A106" i="9" s="1"/>
  <c r="H105" i="5"/>
  <c r="E105" i="5"/>
  <c r="B105" i="5"/>
  <c r="B105" i="9" s="1"/>
  <c r="A105" i="5"/>
  <c r="A105" i="9" s="1"/>
  <c r="H104" i="5"/>
  <c r="E104" i="5"/>
  <c r="B104" i="5"/>
  <c r="B104" i="9" s="1"/>
  <c r="A104" i="5"/>
  <c r="A104" i="9" s="1"/>
  <c r="H103" i="5"/>
  <c r="E103" i="5"/>
  <c r="B103" i="5"/>
  <c r="B103" i="9" s="1"/>
  <c r="A103" i="5"/>
  <c r="A103" i="9" s="1"/>
  <c r="H102" i="5"/>
  <c r="E102" i="5"/>
  <c r="E102" i="9" s="1"/>
  <c r="B102" i="5"/>
  <c r="B102" i="9" s="1"/>
  <c r="A102" i="5"/>
  <c r="A102" i="9" s="1"/>
  <c r="H101" i="5"/>
  <c r="E101" i="5"/>
  <c r="B101" i="5"/>
  <c r="B101" i="9" s="1"/>
  <c r="A101" i="5"/>
  <c r="A101" i="9" s="1"/>
  <c r="H100" i="5"/>
  <c r="E100" i="5"/>
  <c r="E100" i="9" s="1"/>
  <c r="B100" i="5"/>
  <c r="B100" i="9" s="1"/>
  <c r="A100" i="5"/>
  <c r="A100" i="9" s="1"/>
  <c r="H99" i="5"/>
  <c r="E99" i="5"/>
  <c r="B99" i="5"/>
  <c r="B99" i="9" s="1"/>
  <c r="A99" i="5"/>
  <c r="A99" i="9" s="1"/>
  <c r="H98" i="5"/>
  <c r="E98" i="5"/>
  <c r="E98" i="9" s="1"/>
  <c r="B98" i="5"/>
  <c r="B98" i="9" s="1"/>
  <c r="A98" i="5"/>
  <c r="A98" i="9" s="1"/>
  <c r="H97" i="5"/>
  <c r="E97" i="5"/>
  <c r="B97" i="5"/>
  <c r="B97" i="9" s="1"/>
  <c r="A97" i="5"/>
  <c r="A97" i="9" s="1"/>
  <c r="H96" i="5"/>
  <c r="E96" i="5"/>
  <c r="E96" i="9" s="1"/>
  <c r="B96" i="5"/>
  <c r="B96" i="9" s="1"/>
  <c r="A96" i="5"/>
  <c r="A96" i="9" s="1"/>
  <c r="H95" i="5"/>
  <c r="E95" i="5"/>
  <c r="B95" i="5"/>
  <c r="B95" i="9" s="1"/>
  <c r="A95" i="5"/>
  <c r="A95" i="9" s="1"/>
  <c r="H94" i="5"/>
  <c r="E94" i="5"/>
  <c r="E94" i="9" s="1"/>
  <c r="B94" i="5"/>
  <c r="B94" i="9" s="1"/>
  <c r="A94" i="5"/>
  <c r="A94" i="9" s="1"/>
  <c r="H93" i="5"/>
  <c r="E93" i="5"/>
  <c r="B93" i="5"/>
  <c r="B93" i="9" s="1"/>
  <c r="A93" i="5"/>
  <c r="A93" i="9" s="1"/>
  <c r="H92" i="5"/>
  <c r="E92" i="5"/>
  <c r="E92" i="9" s="1"/>
  <c r="B92" i="5"/>
  <c r="B92" i="9" s="1"/>
  <c r="A92" i="5"/>
  <c r="A92" i="9" s="1"/>
  <c r="H91" i="5"/>
  <c r="E91" i="5"/>
  <c r="B91" i="5"/>
  <c r="B91" i="9" s="1"/>
  <c r="A91" i="5"/>
  <c r="A91" i="9" s="1"/>
  <c r="H90" i="5"/>
  <c r="E90" i="5"/>
  <c r="E90" i="9" s="1"/>
  <c r="B90" i="5"/>
  <c r="B90" i="9" s="1"/>
  <c r="A90" i="5"/>
  <c r="A90" i="9" s="1"/>
  <c r="H89" i="5"/>
  <c r="E89" i="5"/>
  <c r="B89" i="5"/>
  <c r="B89" i="9" s="1"/>
  <c r="A89" i="5"/>
  <c r="A89" i="9" s="1"/>
  <c r="H88" i="5"/>
  <c r="E88" i="5"/>
  <c r="E88" i="9" s="1"/>
  <c r="B88" i="5"/>
  <c r="B88" i="9" s="1"/>
  <c r="A88" i="5"/>
  <c r="A88" i="9" s="1"/>
  <c r="H87" i="5"/>
  <c r="E87" i="5"/>
  <c r="B87" i="5"/>
  <c r="B87" i="9" s="1"/>
  <c r="A87" i="5"/>
  <c r="A87" i="9" s="1"/>
  <c r="H86" i="5"/>
  <c r="E86" i="5"/>
  <c r="E86" i="9" s="1"/>
  <c r="B86" i="5"/>
  <c r="B86" i="9" s="1"/>
  <c r="A86" i="5"/>
  <c r="A86" i="9" s="1"/>
  <c r="H85" i="5"/>
  <c r="E85" i="5"/>
  <c r="B85" i="5"/>
  <c r="B85" i="9" s="1"/>
  <c r="A85" i="5"/>
  <c r="A85" i="9" s="1"/>
  <c r="H84" i="5"/>
  <c r="E84" i="5"/>
  <c r="E84" i="9" s="1"/>
  <c r="B84" i="5"/>
  <c r="B84" i="9" s="1"/>
  <c r="A84" i="5"/>
  <c r="A84" i="9" s="1"/>
  <c r="H83" i="5"/>
  <c r="E83" i="5"/>
  <c r="B83" i="5"/>
  <c r="B83" i="9" s="1"/>
  <c r="A83" i="5"/>
  <c r="A83" i="9" s="1"/>
  <c r="H82" i="5"/>
  <c r="E82" i="5"/>
  <c r="E82" i="9" s="1"/>
  <c r="B82" i="5"/>
  <c r="B82" i="9" s="1"/>
  <c r="A82" i="5"/>
  <c r="A82" i="9" s="1"/>
  <c r="H81" i="5"/>
  <c r="E81" i="5"/>
  <c r="B81" i="5"/>
  <c r="B81" i="9" s="1"/>
  <c r="A81" i="5"/>
  <c r="A81" i="9" s="1"/>
  <c r="H80" i="5"/>
  <c r="E80" i="5"/>
  <c r="E80" i="9" s="1"/>
  <c r="B80" i="5"/>
  <c r="B80" i="9" s="1"/>
  <c r="A80" i="5"/>
  <c r="A80" i="9" s="1"/>
  <c r="H79" i="5"/>
  <c r="E79" i="5"/>
  <c r="B79" i="5"/>
  <c r="B79" i="9" s="1"/>
  <c r="A79" i="5"/>
  <c r="A79" i="9" s="1"/>
  <c r="H78" i="5"/>
  <c r="E78" i="5"/>
  <c r="E78" i="9" s="1"/>
  <c r="B78" i="5"/>
  <c r="B78" i="9" s="1"/>
  <c r="A78" i="5"/>
  <c r="A78" i="9" s="1"/>
  <c r="H77" i="5"/>
  <c r="E77" i="5"/>
  <c r="B77" i="5"/>
  <c r="B77" i="9" s="1"/>
  <c r="A77" i="5"/>
  <c r="A77" i="9" s="1"/>
  <c r="H76" i="5"/>
  <c r="E76" i="5"/>
  <c r="E76" i="9" s="1"/>
  <c r="B76" i="5"/>
  <c r="B76" i="9" s="1"/>
  <c r="A76" i="5"/>
  <c r="A76" i="9" s="1"/>
  <c r="H75" i="5"/>
  <c r="E75" i="5"/>
  <c r="B75" i="5"/>
  <c r="B75" i="9" s="1"/>
  <c r="A75" i="5"/>
  <c r="A75" i="9" s="1"/>
  <c r="H74" i="5"/>
  <c r="E74" i="5"/>
  <c r="E74" i="9" s="1"/>
  <c r="B74" i="5"/>
  <c r="B74" i="9" s="1"/>
  <c r="A74" i="5"/>
  <c r="A74" i="9" s="1"/>
  <c r="H73" i="5"/>
  <c r="E73" i="5"/>
  <c r="B73" i="5"/>
  <c r="B73" i="9" s="1"/>
  <c r="A73" i="5"/>
  <c r="A73" i="9" s="1"/>
  <c r="H72" i="5"/>
  <c r="E72" i="5"/>
  <c r="E72" i="9" s="1"/>
  <c r="B72" i="5"/>
  <c r="B72" i="9" s="1"/>
  <c r="A72" i="5"/>
  <c r="A72" i="9" s="1"/>
  <c r="H71" i="5"/>
  <c r="E71" i="5"/>
  <c r="B71" i="5"/>
  <c r="B71" i="9" s="1"/>
  <c r="A71" i="5"/>
  <c r="A71" i="9" s="1"/>
  <c r="H70" i="5"/>
  <c r="E70" i="5"/>
  <c r="E70" i="9" s="1"/>
  <c r="B70" i="5"/>
  <c r="B70" i="9" s="1"/>
  <c r="A70" i="5"/>
  <c r="A70" i="9" s="1"/>
  <c r="H69" i="5"/>
  <c r="E69" i="5"/>
  <c r="B69" i="5"/>
  <c r="B69" i="9" s="1"/>
  <c r="A69" i="5"/>
  <c r="A69" i="9" s="1"/>
  <c r="H68" i="5"/>
  <c r="E68" i="5"/>
  <c r="E68" i="9" s="1"/>
  <c r="B68" i="5"/>
  <c r="B68" i="9" s="1"/>
  <c r="A68" i="5"/>
  <c r="A68" i="9" s="1"/>
  <c r="H67" i="5"/>
  <c r="E67" i="5"/>
  <c r="B67" i="5"/>
  <c r="B67" i="9" s="1"/>
  <c r="A67" i="5"/>
  <c r="A67" i="9" s="1"/>
  <c r="H66" i="5"/>
  <c r="E66" i="5"/>
  <c r="E66" i="9" s="1"/>
  <c r="B66" i="5"/>
  <c r="B66" i="9" s="1"/>
  <c r="A66" i="5"/>
  <c r="A66" i="9" s="1"/>
  <c r="H65" i="5"/>
  <c r="E65" i="5"/>
  <c r="B65" i="5"/>
  <c r="B65" i="9" s="1"/>
  <c r="A65" i="5"/>
  <c r="A65" i="9" s="1"/>
  <c r="H64" i="5"/>
  <c r="E64" i="5"/>
  <c r="E64" i="9" s="1"/>
  <c r="B64" i="5"/>
  <c r="B64" i="9" s="1"/>
  <c r="A64" i="5"/>
  <c r="A64" i="9" s="1"/>
  <c r="H63" i="5"/>
  <c r="E63" i="5"/>
  <c r="B63" i="5"/>
  <c r="B63" i="9" s="1"/>
  <c r="A63" i="5"/>
  <c r="A63" i="9" s="1"/>
  <c r="H62" i="5"/>
  <c r="E62" i="5"/>
  <c r="E62" i="9" s="1"/>
  <c r="B62" i="5"/>
  <c r="B62" i="9" s="1"/>
  <c r="A62" i="5"/>
  <c r="A62" i="9" s="1"/>
  <c r="H61" i="5"/>
  <c r="E61" i="5"/>
  <c r="B61" i="5"/>
  <c r="B61" i="9" s="1"/>
  <c r="A61" i="5"/>
  <c r="A61" i="9" s="1"/>
  <c r="H60" i="5"/>
  <c r="E60" i="5"/>
  <c r="E60" i="9" s="1"/>
  <c r="B60" i="5"/>
  <c r="B60" i="9" s="1"/>
  <c r="A60" i="5"/>
  <c r="A60" i="9" s="1"/>
  <c r="H59" i="5"/>
  <c r="E59" i="5"/>
  <c r="B59" i="5"/>
  <c r="B59" i="9" s="1"/>
  <c r="A59" i="5"/>
  <c r="A59" i="9" s="1"/>
  <c r="H58" i="5"/>
  <c r="E58" i="5"/>
  <c r="E58" i="9" s="1"/>
  <c r="B58" i="5"/>
  <c r="B58" i="9" s="1"/>
  <c r="A58" i="5"/>
  <c r="A58" i="9" s="1"/>
  <c r="H57" i="5"/>
  <c r="E57" i="5"/>
  <c r="B57" i="5"/>
  <c r="B57" i="9" s="1"/>
  <c r="A57" i="5"/>
  <c r="A57" i="9" s="1"/>
  <c r="H56" i="5"/>
  <c r="E56" i="5"/>
  <c r="E56" i="9" s="1"/>
  <c r="B56" i="5"/>
  <c r="B56" i="9" s="1"/>
  <c r="A56" i="5"/>
  <c r="A56" i="9" s="1"/>
  <c r="H55" i="5"/>
  <c r="E55" i="5"/>
  <c r="B55" i="5"/>
  <c r="B55" i="9" s="1"/>
  <c r="A55" i="5"/>
  <c r="A55" i="9" s="1"/>
  <c r="H54" i="5"/>
  <c r="E54" i="5"/>
  <c r="E54" i="9" s="1"/>
  <c r="B54" i="5"/>
  <c r="B54" i="9" s="1"/>
  <c r="A54" i="5"/>
  <c r="A54" i="9" s="1"/>
  <c r="H53" i="5"/>
  <c r="E53" i="5"/>
  <c r="M53" i="3" s="1"/>
  <c r="B53" i="5"/>
  <c r="B53" i="9" s="1"/>
  <c r="A53" i="5"/>
  <c r="A53" i="9" s="1"/>
  <c r="H52" i="5"/>
  <c r="E52" i="5"/>
  <c r="E52" i="9" s="1"/>
  <c r="B52" i="5"/>
  <c r="B52" i="9" s="1"/>
  <c r="A52" i="5"/>
  <c r="A52" i="9" s="1"/>
  <c r="H51" i="5"/>
  <c r="E51" i="5"/>
  <c r="B51" i="5"/>
  <c r="B51" i="9" s="1"/>
  <c r="A51" i="5"/>
  <c r="A51" i="9" s="1"/>
  <c r="H50" i="5"/>
  <c r="E50" i="5"/>
  <c r="E50" i="9" s="1"/>
  <c r="B50" i="5"/>
  <c r="B50" i="9" s="1"/>
  <c r="A50" i="5"/>
  <c r="A50" i="9" s="1"/>
  <c r="H49" i="5"/>
  <c r="E49" i="5"/>
  <c r="B49" i="5"/>
  <c r="B49" i="9" s="1"/>
  <c r="A49" i="5"/>
  <c r="A49" i="9" s="1"/>
  <c r="H48" i="5"/>
  <c r="E48" i="5"/>
  <c r="E48" i="9" s="1"/>
  <c r="B48" i="5"/>
  <c r="B48" i="9" s="1"/>
  <c r="A48" i="5"/>
  <c r="A48" i="9" s="1"/>
  <c r="H47" i="5"/>
  <c r="E47" i="5"/>
  <c r="B47" i="5"/>
  <c r="B47" i="9" s="1"/>
  <c r="A47" i="5"/>
  <c r="A47" i="9" s="1"/>
  <c r="H46" i="5"/>
  <c r="E46" i="5"/>
  <c r="E46" i="9" s="1"/>
  <c r="B46" i="5"/>
  <c r="B46" i="9" s="1"/>
  <c r="A46" i="5"/>
  <c r="A46" i="9" s="1"/>
  <c r="H45" i="5"/>
  <c r="E45" i="5"/>
  <c r="B45" i="5"/>
  <c r="B45" i="9" s="1"/>
  <c r="A45" i="5"/>
  <c r="A45" i="9" s="1"/>
  <c r="H44" i="5"/>
  <c r="E44" i="5"/>
  <c r="E44" i="9" s="1"/>
  <c r="B44" i="5"/>
  <c r="B44" i="9" s="1"/>
  <c r="A44" i="5"/>
  <c r="A44" i="9" s="1"/>
  <c r="H43" i="5"/>
  <c r="E43" i="5"/>
  <c r="B43" i="5"/>
  <c r="B43" i="9" s="1"/>
  <c r="A43" i="5"/>
  <c r="A43" i="9" s="1"/>
  <c r="H42" i="5"/>
  <c r="E42" i="5"/>
  <c r="E42" i="9" s="1"/>
  <c r="B42" i="5"/>
  <c r="B42" i="9" s="1"/>
  <c r="A42" i="5"/>
  <c r="A42" i="9" s="1"/>
  <c r="H41" i="5"/>
  <c r="E41" i="5"/>
  <c r="B41" i="5"/>
  <c r="B41" i="9" s="1"/>
  <c r="A41" i="5"/>
  <c r="A41" i="9" s="1"/>
  <c r="H40" i="5"/>
  <c r="E40" i="5"/>
  <c r="E40" i="9" s="1"/>
  <c r="B40" i="5"/>
  <c r="B40" i="9" s="1"/>
  <c r="A40" i="5"/>
  <c r="A40" i="9" s="1"/>
  <c r="H39" i="5"/>
  <c r="E39" i="5"/>
  <c r="B39" i="5"/>
  <c r="B39" i="9" s="1"/>
  <c r="A39" i="5"/>
  <c r="A39" i="9" s="1"/>
  <c r="H38" i="5"/>
  <c r="E38" i="5"/>
  <c r="E38" i="9" s="1"/>
  <c r="B38" i="5"/>
  <c r="B38" i="9" s="1"/>
  <c r="A38" i="5"/>
  <c r="A38" i="9" s="1"/>
  <c r="H37" i="5"/>
  <c r="E37" i="5"/>
  <c r="B37" i="5"/>
  <c r="B37" i="9" s="1"/>
  <c r="A37" i="5"/>
  <c r="A37" i="9" s="1"/>
  <c r="H36" i="5"/>
  <c r="E36" i="5"/>
  <c r="E36" i="9" s="1"/>
  <c r="B36" i="5"/>
  <c r="B36" i="9" s="1"/>
  <c r="A36" i="5"/>
  <c r="A36" i="9" s="1"/>
  <c r="H35" i="5"/>
  <c r="E35" i="5"/>
  <c r="B35" i="5"/>
  <c r="B35" i="9" s="1"/>
  <c r="A35" i="5"/>
  <c r="A35" i="9" s="1"/>
  <c r="H34" i="5"/>
  <c r="E34" i="5"/>
  <c r="E34" i="9" s="1"/>
  <c r="B34" i="5"/>
  <c r="B34" i="9" s="1"/>
  <c r="A34" i="5"/>
  <c r="A34" i="9" s="1"/>
  <c r="H33" i="5"/>
  <c r="E33" i="5"/>
  <c r="B33" i="5"/>
  <c r="B33" i="9" s="1"/>
  <c r="A33" i="5"/>
  <c r="A33" i="9" s="1"/>
  <c r="H32" i="5"/>
  <c r="E32" i="5"/>
  <c r="E32" i="9" s="1"/>
  <c r="B32" i="5"/>
  <c r="B32" i="9" s="1"/>
  <c r="A32" i="5"/>
  <c r="A32" i="9" s="1"/>
  <c r="H31" i="5"/>
  <c r="E31" i="5"/>
  <c r="B31" i="5"/>
  <c r="B31" i="9" s="1"/>
  <c r="A31" i="5"/>
  <c r="A31" i="9" s="1"/>
  <c r="H30" i="5"/>
  <c r="E30" i="5"/>
  <c r="E30" i="9" s="1"/>
  <c r="C30" i="5"/>
  <c r="C30" i="9" s="1"/>
  <c r="B30" i="5"/>
  <c r="B30" i="9" s="1"/>
  <c r="A30" i="5"/>
  <c r="A30" i="9" s="1"/>
  <c r="H29" i="5"/>
  <c r="E29" i="5"/>
  <c r="E29" i="9" s="1"/>
  <c r="B29" i="5"/>
  <c r="B29" i="9" s="1"/>
  <c r="A29" i="5"/>
  <c r="A29" i="9" s="1"/>
  <c r="H28" i="5"/>
  <c r="E28" i="5"/>
  <c r="E28" i="9" s="1"/>
  <c r="C28" i="5"/>
  <c r="C28" i="9" s="1"/>
  <c r="B28" i="5"/>
  <c r="B28" i="9" s="1"/>
  <c r="A28" i="5"/>
  <c r="A28" i="9" s="1"/>
  <c r="H27" i="5"/>
  <c r="E27" i="5"/>
  <c r="E27" i="9" s="1"/>
  <c r="B27" i="5"/>
  <c r="B27" i="9" s="1"/>
  <c r="A27" i="5"/>
  <c r="A27" i="9" s="1"/>
  <c r="H26" i="5"/>
  <c r="E26" i="5"/>
  <c r="E26" i="9" s="1"/>
  <c r="B26" i="5"/>
  <c r="B26" i="9" s="1"/>
  <c r="A26" i="5"/>
  <c r="A26" i="9" s="1"/>
  <c r="H25" i="5"/>
  <c r="E25" i="5"/>
  <c r="E25" i="9" s="1"/>
  <c r="B25" i="5"/>
  <c r="B25" i="9" s="1"/>
  <c r="A25" i="5"/>
  <c r="A25" i="9" s="1"/>
  <c r="H24" i="5"/>
  <c r="E24" i="5"/>
  <c r="E24" i="9" s="1"/>
  <c r="B24" i="5"/>
  <c r="B24" i="9" s="1"/>
  <c r="A24" i="5"/>
  <c r="A24" i="9" s="1"/>
  <c r="H23" i="5"/>
  <c r="E23" i="5"/>
  <c r="E23" i="9" s="1"/>
  <c r="B23" i="5"/>
  <c r="B23" i="9" s="1"/>
  <c r="A23" i="5"/>
  <c r="A23" i="9" s="1"/>
  <c r="H22" i="5"/>
  <c r="E22" i="5"/>
  <c r="E22" i="9" s="1"/>
  <c r="B22" i="5"/>
  <c r="B22" i="9" s="1"/>
  <c r="A22" i="5"/>
  <c r="A22" i="9" s="1"/>
  <c r="H21" i="5"/>
  <c r="E21" i="5"/>
  <c r="B21" i="5"/>
  <c r="B21" i="9" s="1"/>
  <c r="A21" i="5"/>
  <c r="A21" i="9" s="1"/>
  <c r="H20" i="5"/>
  <c r="E20" i="5"/>
  <c r="E20" i="9" s="1"/>
  <c r="C20" i="5"/>
  <c r="C20" i="9" s="1"/>
  <c r="B20" i="5"/>
  <c r="B20" i="9" s="1"/>
  <c r="A20" i="5"/>
  <c r="A20" i="9" s="1"/>
  <c r="H19" i="5"/>
  <c r="E19" i="5"/>
  <c r="E19" i="9" s="1"/>
  <c r="B19" i="5"/>
  <c r="B19" i="9" s="1"/>
  <c r="A19" i="5"/>
  <c r="A19" i="9" s="1"/>
  <c r="H18" i="5"/>
  <c r="E18" i="5"/>
  <c r="E18" i="9" s="1"/>
  <c r="C18" i="5"/>
  <c r="C18" i="9" s="1"/>
  <c r="B18" i="5"/>
  <c r="B18" i="9" s="1"/>
  <c r="A18" i="5"/>
  <c r="A18" i="9" s="1"/>
  <c r="H17" i="5"/>
  <c r="E17" i="5"/>
  <c r="E17" i="9" s="1"/>
  <c r="B17" i="5"/>
  <c r="B17" i="9" s="1"/>
  <c r="A17" i="5"/>
  <c r="A17" i="9" s="1"/>
  <c r="H16" i="5"/>
  <c r="E16" i="5"/>
  <c r="E16" i="9" s="1"/>
  <c r="B16" i="5"/>
  <c r="B16" i="9" s="1"/>
  <c r="A16" i="5"/>
  <c r="A16" i="9" s="1"/>
  <c r="H15" i="5"/>
  <c r="E15" i="5"/>
  <c r="E15" i="9" s="1"/>
  <c r="B15" i="5"/>
  <c r="B15" i="9" s="1"/>
  <c r="A15" i="5"/>
  <c r="A15" i="9" s="1"/>
  <c r="H14" i="5"/>
  <c r="E14" i="5"/>
  <c r="E14" i="9" s="1"/>
  <c r="B14" i="5"/>
  <c r="B14" i="9" s="1"/>
  <c r="A14" i="5"/>
  <c r="A14" i="9" s="1"/>
  <c r="H13" i="5"/>
  <c r="E13" i="5"/>
  <c r="E13" i="9" s="1"/>
  <c r="B13" i="5"/>
  <c r="B13" i="9" s="1"/>
  <c r="A13" i="5"/>
  <c r="A13" i="9" s="1"/>
  <c r="H12" i="5"/>
  <c r="E12" i="5"/>
  <c r="E12" i="9" s="1"/>
  <c r="B12" i="5"/>
  <c r="B12" i="9" s="1"/>
  <c r="A12" i="5"/>
  <c r="A12" i="9" s="1"/>
  <c r="H11" i="5"/>
  <c r="E11" i="5"/>
  <c r="B11" i="5"/>
  <c r="B11" i="9" s="1"/>
  <c r="A11" i="5"/>
  <c r="A11" i="9" s="1"/>
  <c r="H10" i="5"/>
  <c r="E10" i="5"/>
  <c r="E10" i="9" s="1"/>
  <c r="C10" i="5"/>
  <c r="C10" i="9" s="1"/>
  <c r="B10" i="5"/>
  <c r="B10" i="9" s="1"/>
  <c r="A10" i="5"/>
  <c r="A10" i="9" s="1"/>
  <c r="H9" i="5"/>
  <c r="E9" i="5"/>
  <c r="B9" i="5"/>
  <c r="B9" i="9" s="1"/>
  <c r="A9" i="5"/>
  <c r="A9" i="9" s="1"/>
  <c r="H8" i="5"/>
  <c r="E8" i="5"/>
  <c r="E8" i="9" s="1"/>
  <c r="C8" i="5"/>
  <c r="C8" i="9" s="1"/>
  <c r="B8" i="5"/>
  <c r="B8" i="9" s="1"/>
  <c r="A8" i="5"/>
  <c r="A8" i="9" s="1"/>
  <c r="H7" i="5"/>
  <c r="E7" i="5"/>
  <c r="B7" i="5"/>
  <c r="B7" i="9" s="1"/>
  <c r="A7" i="5"/>
  <c r="A7" i="9" s="1"/>
  <c r="H6" i="5"/>
  <c r="E6" i="5"/>
  <c r="E6" i="9" s="1"/>
  <c r="B6" i="5"/>
  <c r="B6" i="9" s="1"/>
  <c r="A6" i="5"/>
  <c r="A6" i="9" s="1"/>
  <c r="I210" i="4"/>
  <c r="I209" i="4"/>
  <c r="I208" i="4"/>
  <c r="I207" i="4"/>
  <c r="I206" i="4"/>
  <c r="I205" i="4"/>
  <c r="I204" i="4"/>
  <c r="I203" i="4"/>
  <c r="I202" i="4"/>
  <c r="I201" i="4"/>
  <c r="I200" i="4"/>
  <c r="I199" i="4"/>
  <c r="I198" i="4"/>
  <c r="I197" i="4"/>
  <c r="I196" i="4"/>
  <c r="I195" i="4"/>
  <c r="I194" i="4"/>
  <c r="I193" i="4"/>
  <c r="I192" i="4"/>
  <c r="I191" i="4"/>
  <c r="I190" i="4"/>
  <c r="I189" i="4"/>
  <c r="I188" i="4"/>
  <c r="I187" i="4"/>
  <c r="I186" i="4"/>
  <c r="I185" i="4"/>
  <c r="I184" i="4"/>
  <c r="I183" i="4"/>
  <c r="I182" i="4"/>
  <c r="I181" i="4"/>
  <c r="I180" i="4"/>
  <c r="I179" i="4"/>
  <c r="I178" i="4"/>
  <c r="I177" i="4"/>
  <c r="I176" i="4"/>
  <c r="I175" i="4"/>
  <c r="I174" i="4"/>
  <c r="I173" i="4"/>
  <c r="I172" i="4"/>
  <c r="I171" i="4"/>
  <c r="I170" i="4"/>
  <c r="I169" i="4"/>
  <c r="I168" i="4"/>
  <c r="I167" i="4"/>
  <c r="I166" i="4"/>
  <c r="I165" i="4"/>
  <c r="I164" i="4"/>
  <c r="I163" i="4"/>
  <c r="I162" i="4"/>
  <c r="I161" i="4"/>
  <c r="I160" i="4"/>
  <c r="I159" i="4"/>
  <c r="I158" i="4"/>
  <c r="I157" i="4"/>
  <c r="I156" i="4"/>
  <c r="I155" i="4"/>
  <c r="I154" i="4"/>
  <c r="I153" i="4"/>
  <c r="I152" i="4"/>
  <c r="I151" i="4"/>
  <c r="I150" i="4"/>
  <c r="I149" i="4"/>
  <c r="I148" i="4"/>
  <c r="I147" i="4"/>
  <c r="I146" i="4"/>
  <c r="I145" i="4"/>
  <c r="I144" i="4"/>
  <c r="I143" i="4"/>
  <c r="I142" i="4"/>
  <c r="I141" i="4"/>
  <c r="I140" i="4"/>
  <c r="I139" i="4"/>
  <c r="I138" i="4"/>
  <c r="I137" i="4"/>
  <c r="I136" i="4"/>
  <c r="I135" i="4"/>
  <c r="I134" i="4"/>
  <c r="I133" i="4"/>
  <c r="I132" i="4"/>
  <c r="I131" i="4"/>
  <c r="I130" i="4"/>
  <c r="I129" i="4"/>
  <c r="I128" i="4"/>
  <c r="I127" i="4"/>
  <c r="I126" i="4"/>
  <c r="I125" i="4"/>
  <c r="I124" i="4"/>
  <c r="I123" i="4"/>
  <c r="I122" i="4"/>
  <c r="I121" i="4"/>
  <c r="I120" i="4"/>
  <c r="I119" i="4"/>
  <c r="I118" i="4"/>
  <c r="I117" i="4"/>
  <c r="I116" i="4"/>
  <c r="I115" i="4"/>
  <c r="I114" i="4"/>
  <c r="I113" i="4"/>
  <c r="I112" i="4"/>
  <c r="I111" i="4"/>
  <c r="I110" i="4"/>
  <c r="I109" i="4"/>
  <c r="I108" i="4"/>
  <c r="I107" i="4"/>
  <c r="I106" i="4"/>
  <c r="I105" i="4"/>
  <c r="I104" i="4"/>
  <c r="I103" i="4"/>
  <c r="I102" i="4"/>
  <c r="I101" i="4"/>
  <c r="I100" i="4"/>
  <c r="I99" i="4"/>
  <c r="I98" i="4"/>
  <c r="I97" i="4"/>
  <c r="I96" i="4"/>
  <c r="I95" i="4"/>
  <c r="I94" i="4"/>
  <c r="I93" i="4"/>
  <c r="I92" i="4"/>
  <c r="I91" i="4"/>
  <c r="I90" i="4"/>
  <c r="I89" i="4"/>
  <c r="I88" i="4"/>
  <c r="I87" i="4"/>
  <c r="I86" i="4"/>
  <c r="I85" i="4"/>
  <c r="I84" i="4"/>
  <c r="I83" i="4"/>
  <c r="I82" i="4"/>
  <c r="I81" i="4"/>
  <c r="I80" i="4"/>
  <c r="I79" i="4"/>
  <c r="I78" i="4"/>
  <c r="I77" i="4"/>
  <c r="I76" i="4"/>
  <c r="I75" i="4"/>
  <c r="I74" i="4"/>
  <c r="I73" i="4"/>
  <c r="I72" i="4"/>
  <c r="I71" i="4"/>
  <c r="I70" i="4"/>
  <c r="I69" i="4"/>
  <c r="I68" i="4"/>
  <c r="I67" i="4"/>
  <c r="I66" i="4"/>
  <c r="I65" i="4"/>
  <c r="I64" i="4"/>
  <c r="I63" i="4"/>
  <c r="I62" i="4"/>
  <c r="I61" i="4"/>
  <c r="I60" i="4"/>
  <c r="I59" i="4"/>
  <c r="I58" i="4"/>
  <c r="I57" i="4"/>
  <c r="I56" i="4"/>
  <c r="I55"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D28" i="5" s="1"/>
  <c r="I6" i="4"/>
  <c r="P118" i="3"/>
  <c r="N118" i="3"/>
  <c r="M118" i="3"/>
  <c r="H118" i="3"/>
  <c r="C118" i="5" s="1"/>
  <c r="C118" i="9" s="1"/>
  <c r="P117" i="3"/>
  <c r="N117" i="3"/>
  <c r="M117" i="3"/>
  <c r="H117" i="3"/>
  <c r="C117" i="5" s="1"/>
  <c r="C117" i="9" s="1"/>
  <c r="M116" i="3"/>
  <c r="H116" i="3"/>
  <c r="C116" i="5" s="1"/>
  <c r="C116" i="9" s="1"/>
  <c r="M115" i="3"/>
  <c r="H115" i="3"/>
  <c r="C115" i="5" s="1"/>
  <c r="C115" i="9" s="1"/>
  <c r="M114" i="3"/>
  <c r="H114" i="3"/>
  <c r="C114" i="5" s="1"/>
  <c r="C114" i="9" s="1"/>
  <c r="M113" i="3"/>
  <c r="H113" i="3"/>
  <c r="C113" i="5" s="1"/>
  <c r="C113" i="9" s="1"/>
  <c r="M112" i="3"/>
  <c r="H112" i="3"/>
  <c r="M111" i="3"/>
  <c r="H111" i="3"/>
  <c r="C111" i="5" s="1"/>
  <c r="C111" i="9" s="1"/>
  <c r="M110" i="3"/>
  <c r="H110" i="3"/>
  <c r="C110" i="5" s="1"/>
  <c r="C110" i="9" s="1"/>
  <c r="M109" i="3"/>
  <c r="H109" i="3"/>
  <c r="C109" i="5" s="1"/>
  <c r="C109" i="9" s="1"/>
  <c r="M108" i="3"/>
  <c r="H108" i="3"/>
  <c r="C108" i="5" s="1"/>
  <c r="C108" i="9" s="1"/>
  <c r="M107" i="3"/>
  <c r="H107" i="3"/>
  <c r="C107" i="5" s="1"/>
  <c r="C107" i="9" s="1"/>
  <c r="M106" i="3"/>
  <c r="H106" i="3"/>
  <c r="C106" i="5" s="1"/>
  <c r="C106" i="9" s="1"/>
  <c r="M105" i="3"/>
  <c r="H105" i="3"/>
  <c r="C105" i="5" s="1"/>
  <c r="C105" i="9" s="1"/>
  <c r="M104" i="3"/>
  <c r="H104" i="3"/>
  <c r="M103" i="3"/>
  <c r="H103" i="3"/>
  <c r="C103" i="5" s="1"/>
  <c r="C103" i="9" s="1"/>
  <c r="M102" i="3"/>
  <c r="H102" i="3"/>
  <c r="C102" i="5" s="1"/>
  <c r="C102" i="9" s="1"/>
  <c r="M101" i="3"/>
  <c r="H101" i="3"/>
  <c r="C101" i="5" s="1"/>
  <c r="C101" i="9" s="1"/>
  <c r="M100" i="3"/>
  <c r="H100" i="3"/>
  <c r="C100" i="5" s="1"/>
  <c r="C100" i="9" s="1"/>
  <c r="M99" i="3"/>
  <c r="H99" i="3"/>
  <c r="C99" i="5" s="1"/>
  <c r="C99" i="9" s="1"/>
  <c r="M98" i="3"/>
  <c r="H98" i="3"/>
  <c r="C98" i="5" s="1"/>
  <c r="C98" i="9" s="1"/>
  <c r="M97" i="3"/>
  <c r="H97" i="3"/>
  <c r="C97" i="5" s="1"/>
  <c r="C97" i="9" s="1"/>
  <c r="M96" i="3"/>
  <c r="H96" i="3"/>
  <c r="C96" i="5" s="1"/>
  <c r="C96" i="9" s="1"/>
  <c r="M95" i="3"/>
  <c r="H95" i="3"/>
  <c r="C95" i="5" s="1"/>
  <c r="C95" i="9" s="1"/>
  <c r="M94" i="3"/>
  <c r="H94" i="3"/>
  <c r="C94" i="5" s="1"/>
  <c r="C94" i="9" s="1"/>
  <c r="M93" i="3"/>
  <c r="H93" i="3"/>
  <c r="C93" i="5" s="1"/>
  <c r="C93" i="9" s="1"/>
  <c r="M92" i="3"/>
  <c r="H92" i="3"/>
  <c r="C92" i="5" s="1"/>
  <c r="C92" i="9" s="1"/>
  <c r="M91" i="3"/>
  <c r="H91" i="3"/>
  <c r="C91" i="5" s="1"/>
  <c r="C91" i="9" s="1"/>
  <c r="M90" i="3"/>
  <c r="H90" i="3"/>
  <c r="C90" i="5" s="1"/>
  <c r="C90" i="9" s="1"/>
  <c r="M89" i="3"/>
  <c r="H89" i="3"/>
  <c r="C89" i="5" s="1"/>
  <c r="C89" i="9" s="1"/>
  <c r="M88" i="3"/>
  <c r="H88" i="3"/>
  <c r="C88" i="5" s="1"/>
  <c r="C88" i="9" s="1"/>
  <c r="M87" i="3"/>
  <c r="H87" i="3"/>
  <c r="C87" i="5" s="1"/>
  <c r="C87" i="9" s="1"/>
  <c r="M86" i="3"/>
  <c r="H86" i="3"/>
  <c r="C86" i="5" s="1"/>
  <c r="C86" i="9" s="1"/>
  <c r="M85" i="3"/>
  <c r="H85" i="3"/>
  <c r="C85" i="5" s="1"/>
  <c r="C85" i="9" s="1"/>
  <c r="M84" i="3"/>
  <c r="H84" i="3"/>
  <c r="C84" i="5" s="1"/>
  <c r="C84" i="9" s="1"/>
  <c r="M83" i="3"/>
  <c r="H83" i="3"/>
  <c r="C83" i="5" s="1"/>
  <c r="C83" i="9" s="1"/>
  <c r="M82" i="3"/>
  <c r="H82" i="3"/>
  <c r="C82" i="5" s="1"/>
  <c r="C82" i="9" s="1"/>
  <c r="M81" i="3"/>
  <c r="H81" i="3"/>
  <c r="C81" i="5" s="1"/>
  <c r="C81" i="9" s="1"/>
  <c r="M80" i="3"/>
  <c r="H80" i="3"/>
  <c r="C80" i="5" s="1"/>
  <c r="C80" i="9" s="1"/>
  <c r="M79" i="3"/>
  <c r="H79" i="3"/>
  <c r="C79" i="5" s="1"/>
  <c r="C79" i="9" s="1"/>
  <c r="M78" i="3"/>
  <c r="H78" i="3"/>
  <c r="C78" i="5" s="1"/>
  <c r="C78" i="9" s="1"/>
  <c r="M77" i="3"/>
  <c r="H77" i="3"/>
  <c r="C77" i="5" s="1"/>
  <c r="C77" i="9" s="1"/>
  <c r="M76" i="3"/>
  <c r="H76" i="3"/>
  <c r="C76" i="5" s="1"/>
  <c r="C76" i="9" s="1"/>
  <c r="M75" i="3"/>
  <c r="H75" i="3"/>
  <c r="C75" i="5" s="1"/>
  <c r="C75" i="9" s="1"/>
  <c r="M74" i="3"/>
  <c r="H74" i="3"/>
  <c r="C74" i="5" s="1"/>
  <c r="C74" i="9" s="1"/>
  <c r="M73" i="3"/>
  <c r="H73" i="3"/>
  <c r="C73" i="5" s="1"/>
  <c r="C73" i="9" s="1"/>
  <c r="M72" i="3"/>
  <c r="H72" i="3"/>
  <c r="C72" i="5" s="1"/>
  <c r="C72" i="9" s="1"/>
  <c r="M71" i="3"/>
  <c r="H71" i="3"/>
  <c r="C71" i="5" s="1"/>
  <c r="C71" i="9" s="1"/>
  <c r="M70" i="3"/>
  <c r="H70" i="3"/>
  <c r="C70" i="5" s="1"/>
  <c r="C70" i="9" s="1"/>
  <c r="M69" i="3"/>
  <c r="H69" i="3"/>
  <c r="M68" i="3"/>
  <c r="H68" i="3"/>
  <c r="C68" i="5" s="1"/>
  <c r="C68" i="9" s="1"/>
  <c r="M67" i="3"/>
  <c r="H67" i="3"/>
  <c r="C67" i="5" s="1"/>
  <c r="C67" i="9" s="1"/>
  <c r="M66" i="3"/>
  <c r="H66" i="3"/>
  <c r="C66" i="5" s="1"/>
  <c r="C66" i="9" s="1"/>
  <c r="M65" i="3"/>
  <c r="H65" i="3"/>
  <c r="C65" i="5" s="1"/>
  <c r="C65" i="9" s="1"/>
  <c r="M64" i="3"/>
  <c r="H64" i="3"/>
  <c r="C64" i="5" s="1"/>
  <c r="C64" i="9" s="1"/>
  <c r="M63" i="3"/>
  <c r="H63" i="3"/>
  <c r="C63" i="5" s="1"/>
  <c r="C63" i="9" s="1"/>
  <c r="M62" i="3"/>
  <c r="H62" i="3"/>
  <c r="C62" i="5" s="1"/>
  <c r="C62" i="9" s="1"/>
  <c r="M61" i="3"/>
  <c r="H61" i="3"/>
  <c r="C61" i="5" s="1"/>
  <c r="C61" i="9" s="1"/>
  <c r="M60" i="3"/>
  <c r="H60" i="3"/>
  <c r="C60" i="5" s="1"/>
  <c r="C60" i="9" s="1"/>
  <c r="M59" i="3"/>
  <c r="H59" i="3"/>
  <c r="C59" i="5" s="1"/>
  <c r="C59" i="9" s="1"/>
  <c r="M58" i="3"/>
  <c r="H58" i="3"/>
  <c r="C58" i="5" s="1"/>
  <c r="C58" i="9" s="1"/>
  <c r="M57" i="3"/>
  <c r="H57" i="3"/>
  <c r="C57" i="5" s="1"/>
  <c r="C57" i="9" s="1"/>
  <c r="M56" i="3"/>
  <c r="H56" i="3"/>
  <c r="C56" i="5" s="1"/>
  <c r="C56" i="9" s="1"/>
  <c r="M55" i="3"/>
  <c r="H55" i="3"/>
  <c r="C55" i="5" s="1"/>
  <c r="C55" i="9" s="1"/>
  <c r="M54" i="3"/>
  <c r="H54" i="3"/>
  <c r="C54" i="5" s="1"/>
  <c r="C54" i="9" s="1"/>
  <c r="H53" i="3"/>
  <c r="C53" i="5" s="1"/>
  <c r="C53" i="9" s="1"/>
  <c r="M52" i="3"/>
  <c r="H52" i="3"/>
  <c r="C52" i="5" s="1"/>
  <c r="C52" i="9" s="1"/>
  <c r="M51" i="3"/>
  <c r="H51" i="3"/>
  <c r="C51" i="5" s="1"/>
  <c r="C51" i="9" s="1"/>
  <c r="M50" i="3"/>
  <c r="H50" i="3"/>
  <c r="C50" i="5" s="1"/>
  <c r="C50" i="9" s="1"/>
  <c r="M49" i="3"/>
  <c r="H49" i="3"/>
  <c r="C49" i="5" s="1"/>
  <c r="C49" i="9" s="1"/>
  <c r="M48" i="3"/>
  <c r="H48" i="3"/>
  <c r="C48" i="5" s="1"/>
  <c r="C48" i="9" s="1"/>
  <c r="M47" i="3"/>
  <c r="H47" i="3"/>
  <c r="C47" i="5" s="1"/>
  <c r="C47" i="9" s="1"/>
  <c r="M46" i="3"/>
  <c r="H46" i="3"/>
  <c r="C46" i="5" s="1"/>
  <c r="C46" i="9" s="1"/>
  <c r="M45" i="3"/>
  <c r="H45" i="3"/>
  <c r="C45" i="5" s="1"/>
  <c r="C45" i="9" s="1"/>
  <c r="M44" i="3"/>
  <c r="H44" i="3"/>
  <c r="C44" i="5" s="1"/>
  <c r="C44" i="9" s="1"/>
  <c r="H43" i="3"/>
  <c r="C43" i="5" s="1"/>
  <c r="C43" i="9" s="1"/>
  <c r="M42" i="3"/>
  <c r="H42" i="3"/>
  <c r="C42" i="5" s="1"/>
  <c r="C42" i="9" s="1"/>
  <c r="M41" i="3"/>
  <c r="H41" i="3"/>
  <c r="C41" i="5" s="1"/>
  <c r="C41" i="9" s="1"/>
  <c r="M40" i="3"/>
  <c r="H40" i="3"/>
  <c r="C40" i="5" s="1"/>
  <c r="C40" i="9" s="1"/>
  <c r="M39" i="3"/>
  <c r="H39" i="3"/>
  <c r="C39" i="5" s="1"/>
  <c r="C39" i="9" s="1"/>
  <c r="M38" i="3"/>
  <c r="H38" i="3"/>
  <c r="C38" i="5" s="1"/>
  <c r="C38" i="9" s="1"/>
  <c r="M37" i="3"/>
  <c r="H37" i="3"/>
  <c r="C37" i="5" s="1"/>
  <c r="C37" i="9" s="1"/>
  <c r="M36" i="3"/>
  <c r="H36" i="3"/>
  <c r="C36" i="5" s="1"/>
  <c r="C36" i="9" s="1"/>
  <c r="M35" i="3"/>
  <c r="H35" i="3"/>
  <c r="C35" i="5" s="1"/>
  <c r="C35" i="9" s="1"/>
  <c r="H34" i="3"/>
  <c r="M33" i="3"/>
  <c r="H33" i="3"/>
  <c r="C33" i="5" s="1"/>
  <c r="C33" i="9" s="1"/>
  <c r="H32" i="3"/>
  <c r="C32" i="5" s="1"/>
  <c r="C32" i="9" s="1"/>
  <c r="M31" i="3"/>
  <c r="H31" i="3"/>
  <c r="C31" i="5" s="1"/>
  <c r="C31" i="9" s="1"/>
  <c r="M30" i="3"/>
  <c r="H30" i="3"/>
  <c r="M29" i="3"/>
  <c r="H29" i="3"/>
  <c r="C29" i="5" s="1"/>
  <c r="C29" i="9" s="1"/>
  <c r="M28" i="3"/>
  <c r="H28" i="3"/>
  <c r="M27" i="3"/>
  <c r="H27" i="3"/>
  <c r="C27" i="5" s="1"/>
  <c r="C27" i="9" s="1"/>
  <c r="M26" i="3"/>
  <c r="H26" i="3"/>
  <c r="C26" i="5" s="1"/>
  <c r="C26" i="9" s="1"/>
  <c r="M25" i="3"/>
  <c r="H25" i="3"/>
  <c r="C25" i="5" s="1"/>
  <c r="C25" i="9" s="1"/>
  <c r="M24" i="3"/>
  <c r="H24" i="3"/>
  <c r="C24" i="5" s="1"/>
  <c r="C24" i="9" s="1"/>
  <c r="H23" i="3"/>
  <c r="C23" i="5" s="1"/>
  <c r="C23" i="9" s="1"/>
  <c r="M22" i="3"/>
  <c r="H22" i="3"/>
  <c r="C22" i="5" s="1"/>
  <c r="C22" i="9" s="1"/>
  <c r="M21" i="3"/>
  <c r="H21" i="3"/>
  <c r="M20" i="3"/>
  <c r="H20" i="3"/>
  <c r="M19" i="3"/>
  <c r="H19" i="3"/>
  <c r="C19" i="5" s="1"/>
  <c r="C19" i="9" s="1"/>
  <c r="M18" i="3"/>
  <c r="H18" i="3"/>
  <c r="M17" i="3"/>
  <c r="H17" i="3"/>
  <c r="C17" i="5" s="1"/>
  <c r="C17" i="9" s="1"/>
  <c r="M16" i="3"/>
  <c r="H16" i="3"/>
  <c r="C16" i="5" s="1"/>
  <c r="C16" i="9" s="1"/>
  <c r="M15" i="3"/>
  <c r="H15" i="3"/>
  <c r="C15" i="5" s="1"/>
  <c r="C15" i="9" s="1"/>
  <c r="M14" i="3"/>
  <c r="H14" i="3"/>
  <c r="C14" i="5" s="1"/>
  <c r="C14" i="9" s="1"/>
  <c r="H13" i="3"/>
  <c r="C13" i="5" s="1"/>
  <c r="C13" i="9" s="1"/>
  <c r="M12" i="3"/>
  <c r="H12" i="3"/>
  <c r="C12" i="5" s="1"/>
  <c r="C12" i="9" s="1"/>
  <c r="H11" i="3"/>
  <c r="C11" i="5" s="1"/>
  <c r="C11" i="9" s="1"/>
  <c r="M10" i="3"/>
  <c r="H10" i="3"/>
  <c r="M9" i="3"/>
  <c r="H9" i="3"/>
  <c r="C9" i="5" s="1"/>
  <c r="C9" i="9" s="1"/>
  <c r="M8" i="3"/>
  <c r="H8" i="3"/>
  <c r="M7" i="3"/>
  <c r="H7" i="3"/>
  <c r="C7" i="5" s="1"/>
  <c r="C7" i="9" s="1"/>
  <c r="M6" i="3"/>
  <c r="H6" i="3"/>
  <c r="D28" i="9" l="1"/>
  <c r="L28" i="3"/>
  <c r="G28" i="5"/>
  <c r="G28" i="9" s="1"/>
  <c r="J28" i="5"/>
  <c r="I28" i="5"/>
  <c r="D6" i="5"/>
  <c r="D10" i="5"/>
  <c r="D14" i="5"/>
  <c r="D18" i="5"/>
  <c r="D22" i="5"/>
  <c r="D26" i="5"/>
  <c r="F10" i="5"/>
  <c r="E7" i="9"/>
  <c r="F31" i="5"/>
  <c r="F61" i="5"/>
  <c r="F71" i="5"/>
  <c r="H19" i="7"/>
  <c r="H21" i="7"/>
  <c r="C112" i="5"/>
  <c r="C112" i="9" s="1"/>
  <c r="F23" i="5"/>
  <c r="F27" i="5"/>
  <c r="F32" i="5"/>
  <c r="F37" i="5"/>
  <c r="D8" i="5"/>
  <c r="F8" i="5" s="1"/>
  <c r="D12" i="5"/>
  <c r="D16" i="5"/>
  <c r="F16" i="5" s="1"/>
  <c r="D20" i="5"/>
  <c r="D24" i="5"/>
  <c r="F30" i="5"/>
  <c r="D83" i="5"/>
  <c r="F12" i="5"/>
  <c r="F20" i="5"/>
  <c r="F24" i="5"/>
  <c r="F28" i="5"/>
  <c r="F14" i="5"/>
  <c r="H15" i="7"/>
  <c r="H120" i="3"/>
  <c r="D30" i="5"/>
  <c r="D51" i="5"/>
  <c r="F51" i="5" s="1"/>
  <c r="D32" i="5"/>
  <c r="D23" i="5"/>
  <c r="D21" i="5"/>
  <c r="D19" i="5"/>
  <c r="F19" i="5" s="1"/>
  <c r="D17" i="5"/>
  <c r="D15" i="5"/>
  <c r="F15" i="5" s="1"/>
  <c r="D13" i="5"/>
  <c r="F13" i="5" s="1"/>
  <c r="D11" i="5"/>
  <c r="D9" i="5"/>
  <c r="D7" i="5"/>
  <c r="D41" i="5"/>
  <c r="F41" i="5" s="1"/>
  <c r="F53" i="5"/>
  <c r="F58" i="5"/>
  <c r="F80" i="5"/>
  <c r="F18" i="5"/>
  <c r="H17" i="7"/>
  <c r="E9" i="9"/>
  <c r="H18" i="7"/>
  <c r="C34" i="5"/>
  <c r="C34" i="9" s="1"/>
  <c r="C104" i="5"/>
  <c r="C104" i="9" s="1"/>
  <c r="H20" i="7"/>
  <c r="F9" i="5"/>
  <c r="F29" i="5"/>
  <c r="F54" i="5"/>
  <c r="F94" i="5"/>
  <c r="F50" i="5"/>
  <c r="F65" i="5"/>
  <c r="C6" i="5"/>
  <c r="C6" i="9" s="1"/>
  <c r="E43" i="9"/>
  <c r="D60" i="5"/>
  <c r="F60" i="5" s="1"/>
  <c r="D81" i="5"/>
  <c r="E83" i="9"/>
  <c r="D100" i="5"/>
  <c r="E120" i="5"/>
  <c r="D39" i="5"/>
  <c r="E41" i="9"/>
  <c r="D58" i="5"/>
  <c r="D79" i="5"/>
  <c r="E81" i="9"/>
  <c r="D98" i="5"/>
  <c r="F98" i="5" s="1"/>
  <c r="D37" i="5"/>
  <c r="E39" i="9"/>
  <c r="D56" i="5"/>
  <c r="D77" i="5"/>
  <c r="E79" i="9"/>
  <c r="D96" i="5"/>
  <c r="D117" i="5"/>
  <c r="D35" i="5"/>
  <c r="E37" i="9"/>
  <c r="D54" i="5"/>
  <c r="D75" i="5"/>
  <c r="E77" i="9"/>
  <c r="D94" i="5"/>
  <c r="D115" i="5"/>
  <c r="E117" i="9"/>
  <c r="M32" i="3"/>
  <c r="C21" i="5"/>
  <c r="C21" i="9" s="1"/>
  <c r="D33" i="5"/>
  <c r="E35" i="9"/>
  <c r="D52" i="5"/>
  <c r="D73" i="5"/>
  <c r="E75" i="9"/>
  <c r="D92" i="5"/>
  <c r="D113" i="5"/>
  <c r="E115" i="9"/>
  <c r="D25" i="5"/>
  <c r="D27" i="5"/>
  <c r="D29" i="5"/>
  <c r="D31" i="5"/>
  <c r="E33" i="9"/>
  <c r="D50" i="5"/>
  <c r="C69" i="5"/>
  <c r="C69" i="9" s="1"/>
  <c r="D71" i="5"/>
  <c r="E73" i="9"/>
  <c r="D90" i="5"/>
  <c r="F90" i="5" s="1"/>
  <c r="D111" i="5"/>
  <c r="E113" i="9"/>
  <c r="E11" i="9"/>
  <c r="E16" i="8"/>
  <c r="E31" i="9"/>
  <c r="D48" i="5"/>
  <c r="D69" i="5"/>
  <c r="E71" i="9"/>
  <c r="D88" i="5"/>
  <c r="D109" i="5"/>
  <c r="E111" i="9"/>
  <c r="E21" i="9"/>
  <c r="E17" i="8"/>
  <c r="D46" i="5"/>
  <c r="D67" i="5"/>
  <c r="E69" i="9"/>
  <c r="E19" i="8"/>
  <c r="D86" i="5"/>
  <c r="D107" i="5"/>
  <c r="E109" i="9"/>
  <c r="D44" i="5"/>
  <c r="F44" i="5" s="1"/>
  <c r="D65" i="5"/>
  <c r="E67" i="9"/>
  <c r="D84" i="5"/>
  <c r="F84" i="5" s="1"/>
  <c r="D105" i="5"/>
  <c r="E107" i="9"/>
  <c r="D42" i="5"/>
  <c r="F42" i="5" s="1"/>
  <c r="D63" i="5"/>
  <c r="F63" i="5" s="1"/>
  <c r="E65" i="9"/>
  <c r="D82" i="5"/>
  <c r="D103" i="5"/>
  <c r="E105" i="9"/>
  <c r="M13" i="3"/>
  <c r="M23" i="3"/>
  <c r="M43" i="3"/>
  <c r="D40" i="5"/>
  <c r="D61" i="5"/>
  <c r="E63" i="9"/>
  <c r="D80" i="5"/>
  <c r="D101" i="5"/>
  <c r="E103" i="9"/>
  <c r="D38" i="5"/>
  <c r="D59" i="5"/>
  <c r="F59" i="5" s="1"/>
  <c r="E61" i="9"/>
  <c r="D78" i="5"/>
  <c r="D99" i="5"/>
  <c r="F99" i="5" s="1"/>
  <c r="E101" i="9"/>
  <c r="D118" i="5"/>
  <c r="D36" i="5"/>
  <c r="D57" i="5"/>
  <c r="E59" i="9"/>
  <c r="D76" i="5"/>
  <c r="D97" i="5"/>
  <c r="E99" i="9"/>
  <c r="D116" i="5"/>
  <c r="F116" i="5" s="1"/>
  <c r="D34" i="5"/>
  <c r="D55" i="5"/>
  <c r="E57" i="9"/>
  <c r="D74" i="5"/>
  <c r="D95" i="5"/>
  <c r="E97" i="9"/>
  <c r="D114" i="5"/>
  <c r="E15" i="8"/>
  <c r="D53" i="5"/>
  <c r="E55" i="9"/>
  <c r="D72" i="5"/>
  <c r="D93" i="5"/>
  <c r="E95" i="9"/>
  <c r="D112" i="5"/>
  <c r="F112" i="5" s="1"/>
  <c r="E53" i="9"/>
  <c r="D70" i="5"/>
  <c r="F70" i="5" s="1"/>
  <c r="D91" i="5"/>
  <c r="F91" i="5" s="1"/>
  <c r="E93" i="9"/>
  <c r="D110" i="5"/>
  <c r="E21" i="8"/>
  <c r="E112" i="9"/>
  <c r="E18" i="8"/>
  <c r="H16" i="7"/>
  <c r="M34" i="3"/>
  <c r="D49" i="5"/>
  <c r="E51" i="9"/>
  <c r="D68" i="5"/>
  <c r="D89" i="5"/>
  <c r="F89" i="5" s="1"/>
  <c r="E91" i="9"/>
  <c r="D108" i="5"/>
  <c r="F108" i="5" s="1"/>
  <c r="F6" i="5"/>
  <c r="D47" i="5"/>
  <c r="E49" i="9"/>
  <c r="D66" i="5"/>
  <c r="D87" i="5"/>
  <c r="E89" i="9"/>
  <c r="D106" i="5"/>
  <c r="F106" i="5" s="1"/>
  <c r="M11" i="3"/>
  <c r="D45" i="5"/>
  <c r="E47" i="9"/>
  <c r="D64" i="5"/>
  <c r="D85" i="5"/>
  <c r="E87" i="9"/>
  <c r="D104" i="5"/>
  <c r="D43" i="5"/>
  <c r="F43" i="5" s="1"/>
  <c r="E45" i="9"/>
  <c r="D62" i="5"/>
  <c r="E85" i="9"/>
  <c r="D102" i="5"/>
  <c r="F102" i="5" s="1"/>
  <c r="E104" i="9"/>
  <c r="E20" i="8"/>
  <c r="F84" i="9" l="1"/>
  <c r="N84" i="3"/>
  <c r="F116" i="9"/>
  <c r="N116" i="3"/>
  <c r="F51" i="9"/>
  <c r="N51" i="3"/>
  <c r="F98" i="9"/>
  <c r="N98" i="3"/>
  <c r="F43" i="9"/>
  <c r="N43" i="3"/>
  <c r="F41" i="9"/>
  <c r="N41" i="3"/>
  <c r="F106" i="9"/>
  <c r="N106" i="3"/>
  <c r="F13" i="9"/>
  <c r="N13" i="3"/>
  <c r="F16" i="9"/>
  <c r="N16" i="3"/>
  <c r="F59" i="9"/>
  <c r="N59" i="3"/>
  <c r="F70" i="9"/>
  <c r="N70" i="3"/>
  <c r="F15" i="9"/>
  <c r="N15" i="3"/>
  <c r="F99" i="9"/>
  <c r="N99" i="3"/>
  <c r="F44" i="9"/>
  <c r="N44" i="3"/>
  <c r="F91" i="9"/>
  <c r="N91" i="3"/>
  <c r="F112" i="9"/>
  <c r="N112" i="3"/>
  <c r="F19" i="9"/>
  <c r="N19" i="3"/>
  <c r="F108" i="9"/>
  <c r="N108" i="3"/>
  <c r="F89" i="9"/>
  <c r="N89" i="3"/>
  <c r="F90" i="9"/>
  <c r="N90" i="3"/>
  <c r="F8" i="9"/>
  <c r="N8" i="3"/>
  <c r="F63" i="9"/>
  <c r="N63" i="3"/>
  <c r="F102" i="9"/>
  <c r="N102" i="3"/>
  <c r="F60" i="9"/>
  <c r="N60" i="3"/>
  <c r="F42" i="9"/>
  <c r="N42" i="3"/>
  <c r="F65" i="9"/>
  <c r="N65" i="3"/>
  <c r="F50" i="9"/>
  <c r="N50" i="3"/>
  <c r="D38" i="9"/>
  <c r="L38" i="3"/>
  <c r="I38" i="5"/>
  <c r="G38" i="5"/>
  <c r="G38" i="9" s="1"/>
  <c r="D40" i="9"/>
  <c r="J40" i="5"/>
  <c r="I40" i="5"/>
  <c r="G40" i="5"/>
  <c r="G40" i="9" s="1"/>
  <c r="L40" i="3"/>
  <c r="D48" i="9"/>
  <c r="L48" i="3"/>
  <c r="I48" i="5"/>
  <c r="G48" i="5"/>
  <c r="F48" i="5"/>
  <c r="D27" i="9"/>
  <c r="L27" i="3"/>
  <c r="I27" i="5"/>
  <c r="G27" i="5"/>
  <c r="F14" i="9"/>
  <c r="N14" i="3"/>
  <c r="D54" i="9"/>
  <c r="I54" i="5"/>
  <c r="G54" i="5"/>
  <c r="G54" i="9" s="1"/>
  <c r="L54" i="3"/>
  <c r="F40" i="5"/>
  <c r="F20" i="9"/>
  <c r="N20" i="3"/>
  <c r="F75" i="5"/>
  <c r="D79" i="9"/>
  <c r="I79" i="5"/>
  <c r="L79" i="3"/>
  <c r="G79" i="5"/>
  <c r="G79" i="9" s="1"/>
  <c r="F71" i="9"/>
  <c r="N71" i="3"/>
  <c r="D64" i="9"/>
  <c r="J64" i="5"/>
  <c r="I64" i="5"/>
  <c r="G64" i="5"/>
  <c r="G64" i="9" s="1"/>
  <c r="F64" i="5"/>
  <c r="L64" i="3"/>
  <c r="D107" i="9"/>
  <c r="L107" i="3"/>
  <c r="I107" i="5"/>
  <c r="G107" i="5"/>
  <c r="G107" i="9" s="1"/>
  <c r="F107" i="5"/>
  <c r="D113" i="9"/>
  <c r="I113" i="5"/>
  <c r="G113" i="5"/>
  <c r="G113" i="9" s="1"/>
  <c r="F113" i="5"/>
  <c r="B21" i="8" s="1"/>
  <c r="H21" i="8" s="1"/>
  <c r="L113" i="3"/>
  <c r="F38" i="5"/>
  <c r="F24" i="9"/>
  <c r="N24" i="3"/>
  <c r="D39" i="9"/>
  <c r="I39" i="5"/>
  <c r="L39" i="3"/>
  <c r="G39" i="5"/>
  <c r="G39" i="9" s="1"/>
  <c r="F94" i="9"/>
  <c r="N94" i="3"/>
  <c r="D41" i="9"/>
  <c r="I41" i="5"/>
  <c r="G41" i="5"/>
  <c r="G41" i="9" s="1"/>
  <c r="L41" i="3"/>
  <c r="F12" i="9"/>
  <c r="N12" i="3"/>
  <c r="F27" i="9"/>
  <c r="N27" i="3"/>
  <c r="F31" i="9"/>
  <c r="N31" i="3"/>
  <c r="F9" i="9"/>
  <c r="N9" i="3"/>
  <c r="D72" i="9"/>
  <c r="I72" i="5"/>
  <c r="G72" i="5"/>
  <c r="G72" i="9" s="1"/>
  <c r="L72" i="3"/>
  <c r="D45" i="9"/>
  <c r="I45" i="5"/>
  <c r="G45" i="5"/>
  <c r="G45" i="9" s="1"/>
  <c r="F45" i="5"/>
  <c r="L45" i="3"/>
  <c r="D49" i="9"/>
  <c r="G49" i="5"/>
  <c r="G49" i="9" s="1"/>
  <c r="L49" i="3"/>
  <c r="I49" i="5"/>
  <c r="D103" i="9"/>
  <c r="I103" i="5"/>
  <c r="G103" i="5"/>
  <c r="L103" i="3"/>
  <c r="J113" i="5"/>
  <c r="D35" i="9"/>
  <c r="I35" i="5"/>
  <c r="G35" i="5"/>
  <c r="F35" i="5"/>
  <c r="L35" i="3"/>
  <c r="J8" i="5"/>
  <c r="D120" i="5"/>
  <c r="D7" i="9"/>
  <c r="L7" i="3"/>
  <c r="I7" i="5"/>
  <c r="G7" i="5"/>
  <c r="G7" i="9" s="1"/>
  <c r="F23" i="9"/>
  <c r="N23" i="3"/>
  <c r="D89" i="9"/>
  <c r="G89" i="5"/>
  <c r="G89" i="9" s="1"/>
  <c r="L89" i="3"/>
  <c r="I89" i="5"/>
  <c r="D68" i="9"/>
  <c r="G68" i="5"/>
  <c r="G68" i="9" s="1"/>
  <c r="L68" i="3"/>
  <c r="I68" i="5"/>
  <c r="D57" i="9"/>
  <c r="I57" i="5"/>
  <c r="G57" i="5"/>
  <c r="G57" i="9" s="1"/>
  <c r="F57" i="5"/>
  <c r="L57" i="3"/>
  <c r="D82" i="9"/>
  <c r="I82" i="5"/>
  <c r="G82" i="5"/>
  <c r="G82" i="9" s="1"/>
  <c r="L82" i="3"/>
  <c r="D111" i="9"/>
  <c r="L111" i="3"/>
  <c r="I111" i="5"/>
  <c r="G111" i="5"/>
  <c r="G111" i="9" s="1"/>
  <c r="D9" i="9"/>
  <c r="I9" i="5"/>
  <c r="G9" i="5"/>
  <c r="G9" i="9" s="1"/>
  <c r="L9" i="3"/>
  <c r="D83" i="9"/>
  <c r="I83" i="5"/>
  <c r="G83" i="5"/>
  <c r="L83" i="3"/>
  <c r="F32" i="9"/>
  <c r="N32" i="3"/>
  <c r="H31" i="8"/>
  <c r="D73" i="9"/>
  <c r="I73" i="5"/>
  <c r="G73" i="5"/>
  <c r="G73" i="9" s="1"/>
  <c r="F73" i="5"/>
  <c r="L73" i="3"/>
  <c r="D117" i="9"/>
  <c r="L117" i="3"/>
  <c r="O117" i="3" s="1"/>
  <c r="I117" i="5"/>
  <c r="G117" i="5"/>
  <c r="G117" i="9" s="1"/>
  <c r="F79" i="5"/>
  <c r="J9" i="5"/>
  <c r="D11" i="9"/>
  <c r="I11" i="5"/>
  <c r="G11" i="5"/>
  <c r="L11" i="3"/>
  <c r="F30" i="9"/>
  <c r="N30" i="3"/>
  <c r="F10" i="9"/>
  <c r="N10" i="3"/>
  <c r="D85" i="9"/>
  <c r="I85" i="5"/>
  <c r="G85" i="5"/>
  <c r="G85" i="9" s="1"/>
  <c r="F85" i="5"/>
  <c r="L85" i="3"/>
  <c r="D36" i="9"/>
  <c r="J36" i="5"/>
  <c r="I36" i="5"/>
  <c r="G36" i="5"/>
  <c r="G36" i="9" s="1"/>
  <c r="F36" i="5"/>
  <c r="L36" i="3"/>
  <c r="D67" i="9"/>
  <c r="L67" i="3"/>
  <c r="I67" i="5"/>
  <c r="G67" i="5"/>
  <c r="G67" i="9" s="1"/>
  <c r="F67" i="5"/>
  <c r="D90" i="9"/>
  <c r="L90" i="3"/>
  <c r="I90" i="5"/>
  <c r="G90" i="5"/>
  <c r="G90" i="9" s="1"/>
  <c r="D52" i="9"/>
  <c r="I52" i="5"/>
  <c r="G52" i="5"/>
  <c r="G52" i="9" s="1"/>
  <c r="F52" i="5"/>
  <c r="L52" i="3"/>
  <c r="D96" i="9"/>
  <c r="I96" i="5"/>
  <c r="L96" i="3"/>
  <c r="G96" i="5"/>
  <c r="G96" i="9" s="1"/>
  <c r="D100" i="9"/>
  <c r="L100" i="3"/>
  <c r="J100" i="5"/>
  <c r="I100" i="5"/>
  <c r="G100" i="5"/>
  <c r="G100" i="9" s="1"/>
  <c r="F100" i="5"/>
  <c r="D13" i="9"/>
  <c r="I13" i="5"/>
  <c r="G13" i="5"/>
  <c r="L13" i="3"/>
  <c r="D24" i="9"/>
  <c r="G24" i="5"/>
  <c r="G24" i="9" s="1"/>
  <c r="I24" i="5"/>
  <c r="L24" i="3"/>
  <c r="F11" i="5"/>
  <c r="D26" i="9"/>
  <c r="G26" i="5"/>
  <c r="G26" i="9" s="1"/>
  <c r="L26" i="3"/>
  <c r="I26" i="5"/>
  <c r="D97" i="9"/>
  <c r="I97" i="5"/>
  <c r="G97" i="5"/>
  <c r="G97" i="9" s="1"/>
  <c r="F97" i="5"/>
  <c r="L97" i="3"/>
  <c r="D46" i="9"/>
  <c r="J46" i="5"/>
  <c r="I46" i="5"/>
  <c r="G46" i="5"/>
  <c r="G46" i="9" s="1"/>
  <c r="F46" i="5"/>
  <c r="L46" i="3"/>
  <c r="F54" i="9"/>
  <c r="N54" i="3"/>
  <c r="D15" i="9"/>
  <c r="I15" i="5"/>
  <c r="G15" i="5"/>
  <c r="L15" i="3"/>
  <c r="D20" i="9"/>
  <c r="G20" i="5"/>
  <c r="G20" i="9" s="1"/>
  <c r="I20" i="5"/>
  <c r="L20" i="3"/>
  <c r="F7" i="5"/>
  <c r="D22" i="9"/>
  <c r="G22" i="5"/>
  <c r="G22" i="9" s="1"/>
  <c r="I22" i="5"/>
  <c r="L22" i="3"/>
  <c r="D42" i="9"/>
  <c r="J42" i="5"/>
  <c r="I42" i="5"/>
  <c r="G42" i="5"/>
  <c r="G42" i="9" s="1"/>
  <c r="L42" i="3"/>
  <c r="J73" i="5"/>
  <c r="J79" i="5"/>
  <c r="F49" i="5"/>
  <c r="F18" i="9"/>
  <c r="N18" i="3"/>
  <c r="D17" i="9"/>
  <c r="L17" i="3"/>
  <c r="I17" i="5"/>
  <c r="G17" i="5"/>
  <c r="D16" i="9"/>
  <c r="G16" i="5"/>
  <c r="G16" i="9" s="1"/>
  <c r="L16" i="3"/>
  <c r="I16" i="5"/>
  <c r="D18" i="9"/>
  <c r="L18" i="3"/>
  <c r="G18" i="5"/>
  <c r="G18" i="9" s="1"/>
  <c r="I18" i="5"/>
  <c r="F28" i="9"/>
  <c r="N28" i="3"/>
  <c r="J85" i="5"/>
  <c r="D110" i="9"/>
  <c r="G110" i="5"/>
  <c r="G110" i="9" s="1"/>
  <c r="L110" i="3"/>
  <c r="I110" i="5"/>
  <c r="D71" i="9"/>
  <c r="L71" i="3"/>
  <c r="I71" i="5"/>
  <c r="G71" i="5"/>
  <c r="G71" i="9" s="1"/>
  <c r="D33" i="9"/>
  <c r="I33" i="5"/>
  <c r="G33" i="5"/>
  <c r="G33" i="9" s="1"/>
  <c r="F33" i="5"/>
  <c r="L33" i="3"/>
  <c r="D77" i="9"/>
  <c r="L77" i="3"/>
  <c r="I77" i="5"/>
  <c r="G77" i="5"/>
  <c r="G77" i="9" s="1"/>
  <c r="D81" i="9"/>
  <c r="L81" i="3"/>
  <c r="I81" i="5"/>
  <c r="G81" i="5"/>
  <c r="G81" i="9" s="1"/>
  <c r="F81" i="5"/>
  <c r="F80" i="9"/>
  <c r="N80" i="3"/>
  <c r="D19" i="9"/>
  <c r="I19" i="5"/>
  <c r="G19" i="5"/>
  <c r="L19" i="3"/>
  <c r="D12" i="9"/>
  <c r="G12" i="5"/>
  <c r="G12" i="9" s="1"/>
  <c r="J12" i="5"/>
  <c r="I12" i="5"/>
  <c r="L12" i="3"/>
  <c r="D14" i="9"/>
  <c r="G14" i="5"/>
  <c r="G14" i="9" s="1"/>
  <c r="J14" i="5"/>
  <c r="I14" i="5"/>
  <c r="L14" i="3"/>
  <c r="D25" i="9"/>
  <c r="I25" i="5"/>
  <c r="G25" i="5"/>
  <c r="L25" i="3"/>
  <c r="F58" i="9"/>
  <c r="N58" i="3"/>
  <c r="F53" i="9"/>
  <c r="N53" i="3"/>
  <c r="D92" i="9"/>
  <c r="I92" i="5"/>
  <c r="G92" i="5"/>
  <c r="G92" i="9" s="1"/>
  <c r="F92" i="5"/>
  <c r="L92" i="3"/>
  <c r="D118" i="9"/>
  <c r="L118" i="3"/>
  <c r="O118" i="3" s="1"/>
  <c r="I118" i="5"/>
  <c r="G118" i="5"/>
  <c r="G118" i="9" s="1"/>
  <c r="D101" i="9"/>
  <c r="L101" i="3"/>
  <c r="I101" i="5"/>
  <c r="G101" i="5"/>
  <c r="G101" i="9" s="1"/>
  <c r="D56" i="9"/>
  <c r="I56" i="5"/>
  <c r="L56" i="3"/>
  <c r="G56" i="5"/>
  <c r="G56" i="9" s="1"/>
  <c r="F56" i="5"/>
  <c r="J72" i="5"/>
  <c r="D21" i="9"/>
  <c r="I21" i="5"/>
  <c r="G21" i="5"/>
  <c r="L21" i="3"/>
  <c r="D8" i="9"/>
  <c r="L8" i="3"/>
  <c r="G8" i="5"/>
  <c r="G8" i="9" s="1"/>
  <c r="I8" i="5"/>
  <c r="D10" i="9"/>
  <c r="G10" i="5"/>
  <c r="G10" i="9" s="1"/>
  <c r="J10" i="5"/>
  <c r="I10" i="5"/>
  <c r="L10" i="3"/>
  <c r="D58" i="9"/>
  <c r="L58" i="3"/>
  <c r="J58" i="5"/>
  <c r="I58" i="5"/>
  <c r="G58" i="5"/>
  <c r="G58" i="9" s="1"/>
  <c r="D76" i="9"/>
  <c r="I76" i="5"/>
  <c r="G76" i="5"/>
  <c r="G76" i="9" s="1"/>
  <c r="F76" i="5"/>
  <c r="L76" i="3"/>
  <c r="D53" i="9"/>
  <c r="I53" i="5"/>
  <c r="G53" i="5"/>
  <c r="G53" i="9" s="1"/>
  <c r="L53" i="3"/>
  <c r="D63" i="9"/>
  <c r="I63" i="5"/>
  <c r="G63" i="5"/>
  <c r="G63" i="9" s="1"/>
  <c r="L63" i="3"/>
  <c r="D62" i="9"/>
  <c r="I62" i="5"/>
  <c r="G62" i="5"/>
  <c r="G62" i="9" s="1"/>
  <c r="L62" i="3"/>
  <c r="D66" i="9"/>
  <c r="F66" i="5"/>
  <c r="L66" i="3"/>
  <c r="I66" i="5"/>
  <c r="G66" i="5"/>
  <c r="F39" i="5"/>
  <c r="J45" i="5"/>
  <c r="J49" i="5"/>
  <c r="D74" i="9"/>
  <c r="I74" i="5"/>
  <c r="G74" i="5"/>
  <c r="F74" i="5"/>
  <c r="L74" i="3"/>
  <c r="J90" i="5"/>
  <c r="J92" i="5"/>
  <c r="D105" i="9"/>
  <c r="I105" i="5"/>
  <c r="G105" i="5"/>
  <c r="L105" i="3"/>
  <c r="J111" i="5"/>
  <c r="D60" i="9"/>
  <c r="J60" i="5"/>
  <c r="I60" i="5"/>
  <c r="G60" i="5"/>
  <c r="G60" i="9" s="1"/>
  <c r="L60" i="3"/>
  <c r="F22" i="5"/>
  <c r="F103" i="5"/>
  <c r="D23" i="9"/>
  <c r="I23" i="5"/>
  <c r="G23" i="5"/>
  <c r="L23" i="3"/>
  <c r="F110" i="5"/>
  <c r="D6" i="9"/>
  <c r="G6" i="5"/>
  <c r="L6" i="3"/>
  <c r="I6" i="5"/>
  <c r="D75" i="9"/>
  <c r="I75" i="5"/>
  <c r="G75" i="5"/>
  <c r="G75" i="9" s="1"/>
  <c r="L75" i="3"/>
  <c r="D86" i="9"/>
  <c r="I86" i="5"/>
  <c r="G86" i="5"/>
  <c r="G86" i="9" s="1"/>
  <c r="F86" i="5"/>
  <c r="L86" i="3"/>
  <c r="D95" i="9"/>
  <c r="I95" i="5"/>
  <c r="G95" i="5"/>
  <c r="F95" i="5"/>
  <c r="L95" i="3"/>
  <c r="D99" i="9"/>
  <c r="I99" i="5"/>
  <c r="G99" i="5"/>
  <c r="L99" i="3"/>
  <c r="D43" i="9"/>
  <c r="I43" i="5"/>
  <c r="G43" i="5"/>
  <c r="G43" i="9" s="1"/>
  <c r="L43" i="3"/>
  <c r="D91" i="9"/>
  <c r="L91" i="3"/>
  <c r="G91" i="5"/>
  <c r="I91" i="5"/>
  <c r="J57" i="5"/>
  <c r="D78" i="9"/>
  <c r="L78" i="3"/>
  <c r="J78" i="5"/>
  <c r="I78" i="5"/>
  <c r="G78" i="5"/>
  <c r="G78" i="9" s="1"/>
  <c r="D80" i="9"/>
  <c r="I80" i="5"/>
  <c r="G80" i="5"/>
  <c r="G80" i="9" s="1"/>
  <c r="L80" i="3"/>
  <c r="J96" i="5"/>
  <c r="D109" i="9"/>
  <c r="I109" i="5"/>
  <c r="G109" i="5"/>
  <c r="F109" i="5"/>
  <c r="L109" i="3"/>
  <c r="D50" i="9"/>
  <c r="I50" i="5"/>
  <c r="G50" i="5"/>
  <c r="L50" i="3"/>
  <c r="J117" i="5"/>
  <c r="J39" i="5"/>
  <c r="F105" i="5"/>
  <c r="D32" i="9"/>
  <c r="I32" i="5"/>
  <c r="G32" i="5"/>
  <c r="G32" i="9" s="1"/>
  <c r="L32" i="3"/>
  <c r="D93" i="9"/>
  <c r="I93" i="5"/>
  <c r="G93" i="5"/>
  <c r="G93" i="9" s="1"/>
  <c r="L93" i="3"/>
  <c r="F61" i="9"/>
  <c r="N61" i="3"/>
  <c r="D102" i="9"/>
  <c r="I102" i="5"/>
  <c r="G102" i="5"/>
  <c r="G102" i="9" s="1"/>
  <c r="L102" i="3"/>
  <c r="J89" i="5"/>
  <c r="D70" i="9"/>
  <c r="G70" i="5"/>
  <c r="G70" i="9" s="1"/>
  <c r="L70" i="3"/>
  <c r="J70" i="5"/>
  <c r="I70" i="5"/>
  <c r="D88" i="9"/>
  <c r="L88" i="3"/>
  <c r="I88" i="5"/>
  <c r="G88" i="5"/>
  <c r="F88" i="5"/>
  <c r="F29" i="9"/>
  <c r="N29" i="3"/>
  <c r="F93" i="5"/>
  <c r="F82" i="5"/>
  <c r="F111" i="5"/>
  <c r="D44" i="9"/>
  <c r="I44" i="5"/>
  <c r="G44" i="5"/>
  <c r="G44" i="9" s="1"/>
  <c r="L44" i="3"/>
  <c r="F37" i="9"/>
  <c r="N37" i="3"/>
  <c r="D114" i="9"/>
  <c r="J114" i="5"/>
  <c r="I114" i="5"/>
  <c r="G114" i="5"/>
  <c r="G114" i="9" s="1"/>
  <c r="F114" i="5"/>
  <c r="L114" i="3"/>
  <c r="D37" i="9"/>
  <c r="L37" i="3"/>
  <c r="I37" i="5"/>
  <c r="G37" i="5"/>
  <c r="G37" i="9" s="1"/>
  <c r="C120" i="5"/>
  <c r="J38" i="5"/>
  <c r="D55" i="9"/>
  <c r="I55" i="5"/>
  <c r="G55" i="5"/>
  <c r="F55" i="5"/>
  <c r="L55" i="3"/>
  <c r="J33" i="5"/>
  <c r="D115" i="9"/>
  <c r="I115" i="5"/>
  <c r="G115" i="5"/>
  <c r="F115" i="5"/>
  <c r="L115" i="3"/>
  <c r="J32" i="5"/>
  <c r="F25" i="5"/>
  <c r="F83" i="5"/>
  <c r="D30" i="9"/>
  <c r="G30" i="5"/>
  <c r="G30" i="9" s="1"/>
  <c r="J30" i="5"/>
  <c r="I30" i="5"/>
  <c r="L30" i="3"/>
  <c r="F77" i="5"/>
  <c r="D47" i="9"/>
  <c r="F47" i="5"/>
  <c r="L47" i="3"/>
  <c r="I47" i="5"/>
  <c r="G47" i="5"/>
  <c r="D84" i="9"/>
  <c r="I84" i="5"/>
  <c r="G84" i="5"/>
  <c r="L84" i="3"/>
  <c r="D51" i="9"/>
  <c r="L51" i="3"/>
  <c r="G51" i="5"/>
  <c r="I51" i="5"/>
  <c r="B15" i="8"/>
  <c r="F6" i="9"/>
  <c r="N6" i="3"/>
  <c r="J53" i="5"/>
  <c r="D34" i="9"/>
  <c r="I34" i="5"/>
  <c r="G34" i="5"/>
  <c r="F34" i="5"/>
  <c r="L34" i="3"/>
  <c r="D59" i="9"/>
  <c r="I59" i="5"/>
  <c r="G59" i="5"/>
  <c r="L59" i="3"/>
  <c r="D61" i="9"/>
  <c r="L61" i="3"/>
  <c r="I61" i="5"/>
  <c r="G61" i="5"/>
  <c r="J67" i="5"/>
  <c r="J71" i="5"/>
  <c r="D31" i="9"/>
  <c r="I31" i="5"/>
  <c r="G31" i="5"/>
  <c r="L31" i="3"/>
  <c r="D94" i="9"/>
  <c r="I94" i="5"/>
  <c r="G94" i="5"/>
  <c r="G94" i="9" s="1"/>
  <c r="L94" i="3"/>
  <c r="D98" i="9"/>
  <c r="L98" i="3"/>
  <c r="I98" i="5"/>
  <c r="G98" i="5"/>
  <c r="G98" i="9" s="1"/>
  <c r="F21" i="5"/>
  <c r="F78" i="5"/>
  <c r="H24" i="7"/>
  <c r="H121" i="3"/>
  <c r="H25" i="7" s="1"/>
  <c r="F72" i="5"/>
  <c r="F101" i="5"/>
  <c r="P28" i="3"/>
  <c r="O28" i="3"/>
  <c r="D106" i="9"/>
  <c r="L106" i="3"/>
  <c r="I106" i="5"/>
  <c r="G106" i="5"/>
  <c r="G106" i="9" s="1"/>
  <c r="D87" i="9"/>
  <c r="F87" i="5"/>
  <c r="L87" i="3"/>
  <c r="I87" i="5"/>
  <c r="G87" i="5"/>
  <c r="D104" i="9"/>
  <c r="I104" i="5"/>
  <c r="G104" i="5"/>
  <c r="G104" i="9" s="1"/>
  <c r="F104" i="5"/>
  <c r="L104" i="3"/>
  <c r="D108" i="9"/>
  <c r="G108" i="5"/>
  <c r="G108" i="9" s="1"/>
  <c r="L108" i="3"/>
  <c r="J108" i="5"/>
  <c r="I108" i="5"/>
  <c r="D112" i="9"/>
  <c r="I112" i="5"/>
  <c r="G112" i="5"/>
  <c r="G112" i="9" s="1"/>
  <c r="J112" i="5"/>
  <c r="L112" i="3"/>
  <c r="D116" i="9"/>
  <c r="I116" i="5"/>
  <c r="G116" i="5"/>
  <c r="L116" i="3"/>
  <c r="J52" i="5"/>
  <c r="D65" i="9"/>
  <c r="I65" i="5"/>
  <c r="G65" i="5"/>
  <c r="L65" i="3"/>
  <c r="D69" i="9"/>
  <c r="I69" i="5"/>
  <c r="G69" i="5"/>
  <c r="F69" i="5"/>
  <c r="L69" i="3"/>
  <c r="D29" i="9"/>
  <c r="I29" i="5"/>
  <c r="G29" i="5"/>
  <c r="L29" i="3"/>
  <c r="J81" i="5"/>
  <c r="F26" i="5"/>
  <c r="F17" i="5"/>
  <c r="F68" i="5"/>
  <c r="F62" i="5"/>
  <c r="F96" i="5"/>
  <c r="F68" i="9" l="1"/>
  <c r="N68" i="3"/>
  <c r="G91" i="9"/>
  <c r="J91" i="5"/>
  <c r="P66" i="3"/>
  <c r="O66" i="3"/>
  <c r="J77" i="5"/>
  <c r="O99" i="3"/>
  <c r="P99" i="3"/>
  <c r="G6" i="9"/>
  <c r="J6" i="5"/>
  <c r="G120" i="5"/>
  <c r="O10" i="3"/>
  <c r="P10" i="3"/>
  <c r="F72" i="9"/>
  <c r="N72" i="3"/>
  <c r="G51" i="9"/>
  <c r="J51" i="5"/>
  <c r="F114" i="9"/>
  <c r="N114" i="3"/>
  <c r="P88" i="3"/>
  <c r="O88" i="3"/>
  <c r="P12" i="3"/>
  <c r="O12" i="3"/>
  <c r="F46" i="9"/>
  <c r="N46" i="3"/>
  <c r="P57" i="3"/>
  <c r="O57" i="3"/>
  <c r="P104" i="3"/>
  <c r="O104" i="3"/>
  <c r="H122" i="3"/>
  <c r="H27" i="7" s="1"/>
  <c r="H29" i="7" s="1"/>
  <c r="P51" i="3"/>
  <c r="O51" i="3"/>
  <c r="P115" i="3"/>
  <c r="O115" i="3"/>
  <c r="G95" i="9"/>
  <c r="J95" i="5"/>
  <c r="F33" i="9"/>
  <c r="N33" i="3"/>
  <c r="O18" i="3"/>
  <c r="P18" i="3"/>
  <c r="P13" i="3"/>
  <c r="O13" i="3"/>
  <c r="F57" i="9"/>
  <c r="N57" i="3"/>
  <c r="P39" i="3"/>
  <c r="O39" i="3"/>
  <c r="G27" i="9"/>
  <c r="J27" i="5"/>
  <c r="P72" i="3"/>
  <c r="O72" i="3"/>
  <c r="G61" i="9"/>
  <c r="J61" i="5"/>
  <c r="F115" i="9"/>
  <c r="N115" i="3"/>
  <c r="F103" i="9"/>
  <c r="N103" i="3"/>
  <c r="P83" i="3"/>
  <c r="O83" i="3"/>
  <c r="P35" i="3"/>
  <c r="O35" i="3"/>
  <c r="O27" i="3"/>
  <c r="P27" i="3"/>
  <c r="P65" i="3"/>
  <c r="O65" i="3"/>
  <c r="B20" i="8"/>
  <c r="H20" i="8" s="1"/>
  <c r="F104" i="9"/>
  <c r="N104" i="3"/>
  <c r="F105" i="9"/>
  <c r="N105" i="3"/>
  <c r="P8" i="3"/>
  <c r="O8" i="3"/>
  <c r="P92" i="3"/>
  <c r="O92" i="3"/>
  <c r="F78" i="9"/>
  <c r="N78" i="3"/>
  <c r="O61" i="3"/>
  <c r="P61" i="3"/>
  <c r="G84" i="9"/>
  <c r="J84" i="5"/>
  <c r="P70" i="3"/>
  <c r="O70" i="3"/>
  <c r="P78" i="3"/>
  <c r="O78" i="3"/>
  <c r="P86" i="3"/>
  <c r="O86" i="3"/>
  <c r="P60" i="3"/>
  <c r="O60" i="3"/>
  <c r="F39" i="9"/>
  <c r="N39" i="3"/>
  <c r="P76" i="3"/>
  <c r="O76" i="3"/>
  <c r="O21" i="3"/>
  <c r="P21" i="3"/>
  <c r="J16" i="5"/>
  <c r="J22" i="5"/>
  <c r="F67" i="9"/>
  <c r="N67" i="3"/>
  <c r="P11" i="3"/>
  <c r="O11" i="3"/>
  <c r="G83" i="9"/>
  <c r="J83" i="5"/>
  <c r="F35" i="9"/>
  <c r="N35" i="3"/>
  <c r="P22" i="3"/>
  <c r="O22" i="3"/>
  <c r="G13" i="9"/>
  <c r="J13" i="5"/>
  <c r="P90" i="3"/>
  <c r="O90" i="3"/>
  <c r="G65" i="9"/>
  <c r="J65" i="5"/>
  <c r="P84" i="3"/>
  <c r="O84" i="3"/>
  <c r="G115" i="9"/>
  <c r="J115" i="5"/>
  <c r="J43" i="5"/>
  <c r="F22" i="9"/>
  <c r="N22" i="3"/>
  <c r="F92" i="9"/>
  <c r="N92" i="3"/>
  <c r="J104" i="5"/>
  <c r="F21" i="9"/>
  <c r="B17" i="8"/>
  <c r="H17" i="8" s="1"/>
  <c r="N21" i="3"/>
  <c r="F86" i="9"/>
  <c r="N86" i="3"/>
  <c r="J107" i="5"/>
  <c r="F76" i="9"/>
  <c r="N76" i="3"/>
  <c r="G21" i="9"/>
  <c r="J21" i="5"/>
  <c r="P19" i="3"/>
  <c r="O19" i="3"/>
  <c r="O16" i="3"/>
  <c r="P16" i="3"/>
  <c r="P97" i="3"/>
  <c r="O97" i="3"/>
  <c r="F100" i="9"/>
  <c r="N100" i="3"/>
  <c r="G11" i="9"/>
  <c r="J11" i="5"/>
  <c r="G35" i="9"/>
  <c r="J35" i="5"/>
  <c r="F48" i="9"/>
  <c r="N48" i="3"/>
  <c r="J93" i="5"/>
  <c r="F96" i="9"/>
  <c r="N96" i="3"/>
  <c r="F97" i="9"/>
  <c r="N97" i="3"/>
  <c r="J68" i="5"/>
  <c r="F38" i="9"/>
  <c r="N38" i="3"/>
  <c r="P79" i="3"/>
  <c r="O79" i="3"/>
  <c r="G48" i="9"/>
  <c r="J48" i="5"/>
  <c r="F62" i="9"/>
  <c r="N62" i="3"/>
  <c r="P116" i="3"/>
  <c r="O116" i="3"/>
  <c r="G87" i="9"/>
  <c r="J87" i="5"/>
  <c r="G59" i="9"/>
  <c r="J59" i="5"/>
  <c r="G47" i="9"/>
  <c r="J47" i="5"/>
  <c r="P55" i="3"/>
  <c r="O55" i="3"/>
  <c r="P44" i="3"/>
  <c r="O44" i="3"/>
  <c r="G50" i="9"/>
  <c r="J50" i="5"/>
  <c r="P71" i="3"/>
  <c r="O71" i="3"/>
  <c r="F7" i="9"/>
  <c r="N7" i="3"/>
  <c r="P67" i="3"/>
  <c r="O67" i="3"/>
  <c r="O9" i="3"/>
  <c r="P9" i="3"/>
  <c r="P68" i="3"/>
  <c r="O68" i="3"/>
  <c r="P113" i="3"/>
  <c r="O113" i="3"/>
  <c r="F17" i="9"/>
  <c r="N17" i="3"/>
  <c r="P47" i="3"/>
  <c r="O47" i="3"/>
  <c r="P75" i="3"/>
  <c r="O75" i="3"/>
  <c r="J62" i="5"/>
  <c r="F66" i="9"/>
  <c r="N66" i="3"/>
  <c r="F56" i="9"/>
  <c r="N56" i="3"/>
  <c r="O100" i="3"/>
  <c r="P100" i="3"/>
  <c r="O36" i="3"/>
  <c r="P36" i="3"/>
  <c r="F79" i="9"/>
  <c r="N79" i="3"/>
  <c r="P103" i="3"/>
  <c r="O103" i="3"/>
  <c r="F75" i="9"/>
  <c r="N75" i="3"/>
  <c r="J75" i="5"/>
  <c r="F113" i="9"/>
  <c r="N113" i="3"/>
  <c r="P48" i="3"/>
  <c r="O48" i="3"/>
  <c r="P98" i="3"/>
  <c r="O98" i="3"/>
  <c r="G55" i="9"/>
  <c r="J55" i="5"/>
  <c r="P91" i="3"/>
  <c r="O91" i="3"/>
  <c r="F26" i="9"/>
  <c r="N26" i="3"/>
  <c r="F87" i="9"/>
  <c r="N87" i="3"/>
  <c r="P34" i="3"/>
  <c r="O34" i="3"/>
  <c r="F47" i="9"/>
  <c r="N47" i="3"/>
  <c r="J44" i="5"/>
  <c r="P109" i="3"/>
  <c r="O109" i="3"/>
  <c r="J110" i="5"/>
  <c r="O17" i="3"/>
  <c r="P17" i="3"/>
  <c r="J20" i="5"/>
  <c r="F36" i="9"/>
  <c r="N36" i="3"/>
  <c r="G103" i="9"/>
  <c r="J103" i="5"/>
  <c r="P40" i="3"/>
  <c r="O40" i="3"/>
  <c r="J56" i="5"/>
  <c r="P20" i="3"/>
  <c r="O20" i="3"/>
  <c r="P87" i="3"/>
  <c r="O87" i="3"/>
  <c r="P112" i="3"/>
  <c r="O112" i="3"/>
  <c r="P94" i="3"/>
  <c r="O94" i="3"/>
  <c r="F34" i="9"/>
  <c r="B18" i="8"/>
  <c r="H18" i="8" s="1"/>
  <c r="N34" i="3"/>
  <c r="F109" i="9"/>
  <c r="N109" i="3"/>
  <c r="P43" i="3"/>
  <c r="O43" i="3"/>
  <c r="P105" i="3"/>
  <c r="O105" i="3"/>
  <c r="P62" i="3"/>
  <c r="O62" i="3"/>
  <c r="O56" i="3"/>
  <c r="P56" i="3"/>
  <c r="P25" i="3"/>
  <c r="O25" i="3"/>
  <c r="F81" i="9"/>
  <c r="N81" i="3"/>
  <c r="P110" i="3"/>
  <c r="O110" i="3"/>
  <c r="J26" i="5"/>
  <c r="P89" i="3"/>
  <c r="O89" i="3"/>
  <c r="G17" i="9"/>
  <c r="J17" i="5"/>
  <c r="G105" i="9"/>
  <c r="J105" i="5"/>
  <c r="G25" i="9"/>
  <c r="J25" i="5"/>
  <c r="O26" i="3"/>
  <c r="P26" i="3"/>
  <c r="P96" i="3"/>
  <c r="O96" i="3"/>
  <c r="F107" i="9"/>
  <c r="N107" i="3"/>
  <c r="F40" i="9"/>
  <c r="N40" i="3"/>
  <c r="O29" i="3"/>
  <c r="P29" i="3"/>
  <c r="F82" i="9"/>
  <c r="N82" i="3"/>
  <c r="P58" i="3"/>
  <c r="O58" i="3"/>
  <c r="P15" i="3"/>
  <c r="O15" i="3"/>
  <c r="P111" i="3"/>
  <c r="O111" i="3"/>
  <c r="J101" i="5"/>
  <c r="G34" i="9"/>
  <c r="J34" i="5"/>
  <c r="F111" i="9"/>
  <c r="N111" i="3"/>
  <c r="G109" i="9"/>
  <c r="J109" i="5"/>
  <c r="P30" i="3"/>
  <c r="O30" i="3"/>
  <c r="J41" i="5"/>
  <c r="G29" i="9"/>
  <c r="J29" i="5"/>
  <c r="J106" i="5"/>
  <c r="J94" i="5"/>
  <c r="F93" i="9"/>
  <c r="N93" i="3"/>
  <c r="P93" i="3"/>
  <c r="O93" i="3"/>
  <c r="O6" i="3"/>
  <c r="P6" i="3"/>
  <c r="P81" i="3"/>
  <c r="O81" i="3"/>
  <c r="J97" i="5"/>
  <c r="F49" i="9"/>
  <c r="N49" i="3"/>
  <c r="G15" i="9"/>
  <c r="J15" i="5"/>
  <c r="P73" i="3"/>
  <c r="O73" i="3"/>
  <c r="J7" i="5"/>
  <c r="P49" i="3"/>
  <c r="O49" i="3"/>
  <c r="P41" i="3"/>
  <c r="O41" i="3"/>
  <c r="P54" i="3"/>
  <c r="O54" i="3"/>
  <c r="O59" i="3"/>
  <c r="P59" i="3"/>
  <c r="G66" i="9"/>
  <c r="J66" i="5"/>
  <c r="G19" i="9"/>
  <c r="J19" i="5"/>
  <c r="G116" i="9"/>
  <c r="J116" i="5"/>
  <c r="J98" i="5"/>
  <c r="F73" i="9"/>
  <c r="N73" i="3"/>
  <c r="P82" i="3"/>
  <c r="O82" i="3"/>
  <c r="P107" i="3"/>
  <c r="O107" i="3"/>
  <c r="J86" i="5"/>
  <c r="P24" i="3"/>
  <c r="O24" i="3"/>
  <c r="F52" i="9"/>
  <c r="N52" i="3"/>
  <c r="F85" i="9"/>
  <c r="N85" i="3"/>
  <c r="O31" i="3"/>
  <c r="P31" i="3"/>
  <c r="O37" i="3"/>
  <c r="P37" i="3"/>
  <c r="P80" i="3"/>
  <c r="O80" i="3"/>
  <c r="G99" i="9"/>
  <c r="J99" i="5"/>
  <c r="P101" i="3"/>
  <c r="O101" i="3"/>
  <c r="F88" i="9"/>
  <c r="N88" i="3"/>
  <c r="F110" i="9"/>
  <c r="N110" i="3"/>
  <c r="P74" i="3"/>
  <c r="O74" i="3"/>
  <c r="P42" i="3"/>
  <c r="O42" i="3"/>
  <c r="P45" i="3"/>
  <c r="O45" i="3"/>
  <c r="P64" i="3"/>
  <c r="O64" i="3"/>
  <c r="J54" i="5"/>
  <c r="O38" i="3"/>
  <c r="P38" i="3"/>
  <c r="O50" i="3"/>
  <c r="P50" i="3"/>
  <c r="F55" i="9"/>
  <c r="N55" i="3"/>
  <c r="P102" i="3"/>
  <c r="O102" i="3"/>
  <c r="J76" i="5"/>
  <c r="F77" i="9"/>
  <c r="N77" i="3"/>
  <c r="P106" i="3"/>
  <c r="O106" i="3"/>
  <c r="P63" i="3"/>
  <c r="O63" i="3"/>
  <c r="P14" i="3"/>
  <c r="O14" i="3"/>
  <c r="F11" i="9"/>
  <c r="N11" i="3"/>
  <c r="B16" i="8"/>
  <c r="H16" i="8" s="1"/>
  <c r="P52" i="3"/>
  <c r="O52" i="3"/>
  <c r="P85" i="3"/>
  <c r="O85" i="3"/>
  <c r="F69" i="9"/>
  <c r="B19" i="8"/>
  <c r="H19" i="8" s="1"/>
  <c r="N69" i="3"/>
  <c r="P108" i="3"/>
  <c r="O108" i="3"/>
  <c r="H15" i="8"/>
  <c r="F83" i="9"/>
  <c r="N83" i="3"/>
  <c r="J63" i="5"/>
  <c r="G88" i="9"/>
  <c r="J88" i="5"/>
  <c r="P32" i="3"/>
  <c r="O32" i="3"/>
  <c r="P23" i="3"/>
  <c r="O23" i="3"/>
  <c r="F74" i="9"/>
  <c r="N74" i="3"/>
  <c r="P77" i="3"/>
  <c r="O77" i="3"/>
  <c r="J24" i="5"/>
  <c r="J82" i="5"/>
  <c r="F45" i="9"/>
  <c r="N45" i="3"/>
  <c r="F64" i="9"/>
  <c r="N64" i="3"/>
  <c r="F120" i="5"/>
  <c r="O69" i="3"/>
  <c r="P69" i="3"/>
  <c r="G31" i="9"/>
  <c r="J31" i="5"/>
  <c r="G69" i="9"/>
  <c r="J69" i="5"/>
  <c r="F101" i="9"/>
  <c r="N101" i="3"/>
  <c r="F25" i="9"/>
  <c r="N25" i="3"/>
  <c r="P114" i="3"/>
  <c r="O114" i="3"/>
  <c r="J80" i="5"/>
  <c r="P95" i="3"/>
  <c r="O95" i="3"/>
  <c r="G23" i="9"/>
  <c r="J23" i="5"/>
  <c r="G74" i="9"/>
  <c r="J74" i="5"/>
  <c r="J118" i="5"/>
  <c r="J18" i="5"/>
  <c r="O46" i="3"/>
  <c r="P46" i="3"/>
  <c r="J102" i="5"/>
  <c r="O7" i="3"/>
  <c r="P7" i="3"/>
  <c r="F95" i="9"/>
  <c r="N95" i="3"/>
  <c r="P53" i="3"/>
  <c r="O53" i="3"/>
  <c r="P33" i="3"/>
  <c r="O33" i="3"/>
  <c r="J37" i="5"/>
  <c r="H24" i="8" l="1"/>
  <c r="H32" i="8"/>
  <c r="H25" i="8" l="1"/>
  <c r="H26" i="8" s="1"/>
  <c r="H29" i="8" s="1"/>
</calcChain>
</file>

<file path=xl/sharedStrings.xml><?xml version="1.0" encoding="utf-8"?>
<sst xmlns="http://schemas.openxmlformats.org/spreadsheetml/2006/main" count="722" uniqueCount="253">
  <si>
    <t>STONE COLUMN - COST-PLUS ESTIMATE &amp; PROGRESS BILLING</t>
  </si>
  <si>
    <t>The budget creates the estimate. Actual QuickBooks job costs create the invoice.</t>
  </si>
  <si>
    <t>STEP</t>
  </si>
  <si>
    <t>WORKFLOW</t>
  </si>
  <si>
    <t>1</t>
  </si>
  <si>
    <t>Complete Project Setup. Yellow cells are user inputs.</t>
  </si>
  <si>
    <t>2</t>
  </si>
  <si>
    <t>Build the internal BUDGET by entering original budget, adjustments, discounts, descriptions, and billing flags.</t>
  </si>
  <si>
    <t>3</t>
  </si>
  <si>
    <t>The ESTIMATE automatically summarizes that budget and adds the estimated management fee. It clearly states that figures are estimates only.</t>
  </si>
  <si>
    <t>4</t>
  </si>
  <si>
    <t>Export the latest QuickBooks Job Estimates vs. Actuals report. Copy the entire Sheet1 report and paste it into QB JOB COST IMPORT beginning at cell A6.</t>
  </si>
  <si>
    <t>5</t>
  </si>
  <si>
    <t>COST RECONCILIATION matches QuickBooks actual costs to the four-digit cost codes and subtracts costs already recorded in DRAW HISTORY.</t>
  </si>
  <si>
    <t>6</t>
  </si>
  <si>
    <t>Review INVOICE and INVOICE DETAIL. The amount due is actual new cost plus the management fee, less any credit applied this draw.</t>
  </si>
  <si>
    <t>7</t>
  </si>
  <si>
    <t>After sending the invoice, copy the Current Draw Cost column from COST RECONCILIATION and paste VALUES ONLY into the matching draw column in DRAW HISTORY.</t>
  </si>
  <si>
    <t>8</t>
  </si>
  <si>
    <t>For the next draw, replace the QB import with the newest cumulative report, select the next draw number, and repeat.</t>
  </si>
  <si>
    <t>CONTROL: Do not overwrite prior draw-history columns. That history is what prevents the same cumulative QuickBooks costs from being billed twice. Budget overruns are highlighted but remain billable under the cost-plus model.</t>
  </si>
  <si>
    <t>PROJECT SETUP</t>
  </si>
  <si>
    <t>Company Name</t>
  </si>
  <si>
    <t>STONE COLUMN CUSTOM HOMES + REMODELING</t>
  </si>
  <si>
    <t>Payable To</t>
  </si>
  <si>
    <t>Stone Column Properties, LLC.</t>
  </si>
  <si>
    <t>Company Address</t>
  </si>
  <si>
    <t>7772 Turner Rd.</t>
  </si>
  <si>
    <t>Company City / State / ZIP</t>
  </si>
  <si>
    <t>Woodstock, GA 30188</t>
  </si>
  <si>
    <t>Phone</t>
  </si>
  <si>
    <t>(404) 867-7890</t>
  </si>
  <si>
    <t>Email</t>
  </si>
  <si>
    <t>Customer Name</t>
  </si>
  <si>
    <t>Customer Address</t>
  </si>
  <si>
    <t>Customer City / State / ZIP</t>
  </si>
  <si>
    <t>Customer Email</t>
  </si>
  <si>
    <t>Project Name</t>
  </si>
  <si>
    <t>Project Address</t>
  </si>
  <si>
    <t>Estimate #</t>
  </si>
  <si>
    <t>Estimate Date</t>
  </si>
  <si>
    <t>Management Fee %</t>
  </si>
  <si>
    <t>Estimated Deposit %</t>
  </si>
  <si>
    <t>Estimate Terms</t>
  </si>
  <si>
    <t>Cost-plus arrangement. Budget amounts are estimates only. Owner is billed for actual project costs incurred plus the stated project-management fee.</t>
  </si>
  <si>
    <t>CURRENT DRAW NUMBER</t>
  </si>
  <si>
    <t>Invoice # Prefix</t>
  </si>
  <si>
    <t>Invoice Date</t>
  </si>
  <si>
    <t>Due Date</t>
  </si>
  <si>
    <t>Credit / Deposit Applied This Draw</t>
  </si>
  <si>
    <t>Payment Terms</t>
  </si>
  <si>
    <t>Due upon receipt</t>
  </si>
  <si>
    <t>INTERNAL COST-PLUS PROJECT BUDGET</t>
  </si>
  <si>
    <t>Yellow = input | Blue = calculated | Budget is an estimate and does not cap reimbursable actual cost</t>
  </si>
  <si>
    <t>Code</t>
  </si>
  <si>
    <t>Activity</t>
  </si>
  <si>
    <t>Original Budget</t>
  </si>
  <si>
    <t>Description / Scope</t>
  </si>
  <si>
    <t>Adjustment</t>
  </si>
  <si>
    <t>Reason</t>
  </si>
  <si>
    <t>Vendor Discount</t>
  </si>
  <si>
    <t>Adjusted Budget</t>
  </si>
  <si>
    <t>Include in Estimate?</t>
  </si>
  <si>
    <t>Billable Cost?</t>
  </si>
  <si>
    <t>Division</t>
  </si>
  <si>
    <t>Current QB Actual</t>
  </si>
  <si>
    <t>Prior Billed</t>
  </si>
  <si>
    <t>Current Draw Cost</t>
  </si>
  <si>
    <t>Budget Variance</t>
  </si>
  <si>
    <t>Status</t>
  </si>
  <si>
    <t>Plan / Site Plans</t>
  </si>
  <si>
    <t>Yes</t>
  </si>
  <si>
    <t>Preconstruction &amp; General</t>
  </si>
  <si>
    <t>Permits/Fees/Water/Sewer</t>
  </si>
  <si>
    <t>Surveys</t>
  </si>
  <si>
    <t>Builders Risk Insurance</t>
  </si>
  <si>
    <t>Reinspection Fees</t>
  </si>
  <si>
    <t>Grading - Clear Lot</t>
  </si>
  <si>
    <t>Sitework</t>
  </si>
  <si>
    <t>Grading - Haul Debris</t>
  </si>
  <si>
    <t>Grading - Cut Foundation</t>
  </si>
  <si>
    <t>Grading - Backfill Found</t>
  </si>
  <si>
    <t>Grading - Cut Drive</t>
  </si>
  <si>
    <t>Grading - Final</t>
  </si>
  <si>
    <t>Grading - Misc</t>
  </si>
  <si>
    <t>Retaining Walls - Sub</t>
  </si>
  <si>
    <t>Erosion Control</t>
  </si>
  <si>
    <t>Gravel</t>
  </si>
  <si>
    <t>Pump Concrete</t>
  </si>
  <si>
    <t>Foundation</t>
  </si>
  <si>
    <t>Footing - Material</t>
  </si>
  <si>
    <t>Footing - Sub</t>
  </si>
  <si>
    <t>Block - Materials</t>
  </si>
  <si>
    <t>Block - Sub</t>
  </si>
  <si>
    <t>Slab - Sub</t>
  </si>
  <si>
    <t>Foundation Wall - Material</t>
  </si>
  <si>
    <t>Foundation Wall - Sub</t>
  </si>
  <si>
    <t>Termite Treat Soil</t>
  </si>
  <si>
    <t>Waterproof Foundation</t>
  </si>
  <si>
    <t>Engineering</t>
  </si>
  <si>
    <t>Water Lines - Sub</t>
  </si>
  <si>
    <t>Sewer Lines - Sub</t>
  </si>
  <si>
    <t>Brick - Materials</t>
  </si>
  <si>
    <t>Structure, Exterior &amp; MEP</t>
  </si>
  <si>
    <t>Brick - Sub</t>
  </si>
  <si>
    <t>Stone - Sub</t>
  </si>
  <si>
    <t>Stucco - Sub</t>
  </si>
  <si>
    <t>Framing - Material</t>
  </si>
  <si>
    <t>Framing - Sub</t>
  </si>
  <si>
    <t>Floor Screw - Sub</t>
  </si>
  <si>
    <t>Trusses - Material</t>
  </si>
  <si>
    <t>Steel Beams</t>
  </si>
  <si>
    <t>Windows/Ex Doors - Mat</t>
  </si>
  <si>
    <t>Windows/Ex Doors - Sub</t>
  </si>
  <si>
    <t>Skylight - Sub</t>
  </si>
  <si>
    <t>Specialty Glass - Sub</t>
  </si>
  <si>
    <t>Roofing - Material</t>
  </si>
  <si>
    <t>Roofing - Sub</t>
  </si>
  <si>
    <t>Plumbing - Sub</t>
  </si>
  <si>
    <t>Plumbing - Fixtures</t>
  </si>
  <si>
    <t>Electrical - Sub</t>
  </si>
  <si>
    <t>Low Voltage - Sub</t>
  </si>
  <si>
    <t>HVAC - Sub</t>
  </si>
  <si>
    <t>Pre-Fab Fireplace - Sub</t>
  </si>
  <si>
    <t>Trash Removal - Sub</t>
  </si>
  <si>
    <t>Deck - Materials</t>
  </si>
  <si>
    <t>Deck - Sub</t>
  </si>
  <si>
    <t>Front Porch - Mat</t>
  </si>
  <si>
    <t>Front Porch - Sub</t>
  </si>
  <si>
    <t>Siding/Cornice - Mat</t>
  </si>
  <si>
    <t>Siding/Cornice - Sub</t>
  </si>
  <si>
    <t>Flashing - Sub</t>
  </si>
  <si>
    <t>Cedar Shingles - Mat</t>
  </si>
  <si>
    <t>Cedar Shingles - Sub</t>
  </si>
  <si>
    <t>Shutters</t>
  </si>
  <si>
    <t>Insulation - Sub</t>
  </si>
  <si>
    <t>Flower Box - Sub</t>
  </si>
  <si>
    <t>Housewrap - Sub</t>
  </si>
  <si>
    <t>Sheetrock - Materials</t>
  </si>
  <si>
    <t>Interior Finishes</t>
  </si>
  <si>
    <t>Sheetrock - Sub ***</t>
  </si>
  <si>
    <t>Garage Doors - Sub</t>
  </si>
  <si>
    <t>Drive/Walk/Patio - M</t>
  </si>
  <si>
    <t>Drive/Walk/Patio - S</t>
  </si>
  <si>
    <t>Public Walks - Conc</t>
  </si>
  <si>
    <t>Public Walks - Sub</t>
  </si>
  <si>
    <t>Lockout - Materials</t>
  </si>
  <si>
    <t>Lockout - Sub</t>
  </si>
  <si>
    <t>Trim - Materials</t>
  </si>
  <si>
    <t>Trim -Int Doors - Mat</t>
  </si>
  <si>
    <t>Trim - Sub</t>
  </si>
  <si>
    <t>Stair Parts - Mat</t>
  </si>
  <si>
    <t>Gutters - Sub</t>
  </si>
  <si>
    <t>Metal Roof - Sub</t>
  </si>
  <si>
    <t>Cabinets - Sub</t>
  </si>
  <si>
    <t>Countertops - Sub</t>
  </si>
  <si>
    <t>Paint - Sub</t>
  </si>
  <si>
    <t>Sinks / Tubs</t>
  </si>
  <si>
    <t>Cultured Marble - Sub</t>
  </si>
  <si>
    <t>Fireplace Veneer - Mat</t>
  </si>
  <si>
    <t>Fireplace Veneer - Sub</t>
  </si>
  <si>
    <t>Ceramic Tile - Sub ***</t>
  </si>
  <si>
    <t>Hardware/Supplies</t>
  </si>
  <si>
    <t>Mirrors/Ecl/Shlve - Sub</t>
  </si>
  <si>
    <t>Light Fixtures</t>
  </si>
  <si>
    <t>Appliances - Material</t>
  </si>
  <si>
    <t>Hardwoods - Sub ***</t>
  </si>
  <si>
    <t>Vinyl Flooring - Sub</t>
  </si>
  <si>
    <t>Carpet Flooring - Sub</t>
  </si>
  <si>
    <t>Screens - Sub</t>
  </si>
  <si>
    <t>Mailbox - Sub</t>
  </si>
  <si>
    <t>Wrought Iron - Sub</t>
  </si>
  <si>
    <t>Tub/Sink Repair - Sub</t>
  </si>
  <si>
    <t>Elevator - Sub</t>
  </si>
  <si>
    <t>Irrigation System - Sub</t>
  </si>
  <si>
    <t>Exterior Improvements &amp; Closeout</t>
  </si>
  <si>
    <t>Landscape - Sub</t>
  </si>
  <si>
    <t>Fence</t>
  </si>
  <si>
    <t>Window Clean - Sub</t>
  </si>
  <si>
    <t>Interior Clean - Sub</t>
  </si>
  <si>
    <t>Carpet Clean - Sub</t>
  </si>
  <si>
    <t>Pressure Wash - Sub</t>
  </si>
  <si>
    <t>Labor Cleanup / Punchout</t>
  </si>
  <si>
    <t>Utilities - Water/Sewer</t>
  </si>
  <si>
    <t>Other Project Costs</t>
  </si>
  <si>
    <t>Pool, pavers, Fence</t>
  </si>
  <si>
    <t>Interior Upgrades</t>
  </si>
  <si>
    <t>Exterior Upgrades</t>
  </si>
  <si>
    <t>Design Fee</t>
  </si>
  <si>
    <t>Sales Commission</t>
  </si>
  <si>
    <t>No</t>
  </si>
  <si>
    <t>Transfer WIP to CGS</t>
  </si>
  <si>
    <t>ESTIMATED BILLABLE HARD COST</t>
  </si>
  <si>
    <t>ESTIMATED MANAGEMENT FEE</t>
  </si>
  <si>
    <t>ESTIMATED PROJECT TOTAL</t>
  </si>
  <si>
    <t>QUICKBOOKS JOB COST IMPORT - CUMULATIVE ACTUALS</t>
  </si>
  <si>
    <t>Replace the prior import each draw. Copy the entire QuickBooks exported Sheet1 and paste beginning at A6. Keep the QuickBooks Service in column C and Actual Cost in column F. Column I parses the cost code automatically.</t>
  </si>
  <si>
    <t>Parsed Cost Code</t>
  </si>
  <si>
    <t>COST RECONCILIATION - BUDGET VS. QUICKBOOKS VS. PRIOR DRAWS</t>
  </si>
  <si>
    <t>Previously Invoiced Cost</t>
  </si>
  <si>
    <t>Actual vs Budget</t>
  </si>
  <si>
    <t>Billable?</t>
  </si>
  <si>
    <t>Import Match</t>
  </si>
  <si>
    <t>Review</t>
  </si>
  <si>
    <t>BILLABLE TOTALS</t>
  </si>
  <si>
    <t>DRAW HISTORY - INVOICED ACTUAL COST BY COST CODE</t>
  </si>
  <si>
    <t>After sending an invoice, paste VALUES ONLY from COST RECONCILIATION Current Draw Cost into the corresponding draw column below.</t>
  </si>
  <si>
    <t>Draw 1</t>
  </si>
  <si>
    <t>Draw 2</t>
  </si>
  <si>
    <t>Draw 3</t>
  </si>
  <si>
    <t>Draw 4</t>
  </si>
  <si>
    <t>Draw 5</t>
  </si>
  <si>
    <t>Draw 6</t>
  </si>
  <si>
    <t>Draw 7</t>
  </si>
  <si>
    <t>Draw 8</t>
  </si>
  <si>
    <t>Draw 9</t>
  </si>
  <si>
    <t>Draw 10</t>
  </si>
  <si>
    <t>ESTIMATE</t>
  </si>
  <si>
    <t>Estimate for</t>
  </si>
  <si>
    <t>Payable to</t>
  </si>
  <si>
    <t>Project</t>
  </si>
  <si>
    <t>ESTIMATED COST CATEGORY</t>
  </si>
  <si>
    <t>SCOPE / BASIS</t>
  </si>
  <si>
    <t>ESTIMATED COST</t>
  </si>
  <si>
    <t>Estimated costs for preconstruction &amp; general based on the current project budget and scope.</t>
  </si>
  <si>
    <t>Estimated costs for sitework based on the current project budget and scope.</t>
  </si>
  <si>
    <t>Estimated costs for foundation based on the current project budget and scope.</t>
  </si>
  <si>
    <t>Estimated costs for structure, exterior &amp; mep based on the current project budget and scope.</t>
  </si>
  <si>
    <t>Estimated costs for interior finishes based on the current project budget and scope.</t>
  </si>
  <si>
    <t>Estimated costs for exterior improvements &amp; closeout based on the current project budget and scope.</t>
  </si>
  <si>
    <t>Estimated costs for other project costs based on the current project budget and scope.</t>
  </si>
  <si>
    <t>Estimated Hard Costs</t>
  </si>
  <si>
    <t>Estimated Deposit</t>
  </si>
  <si>
    <t>Signature &amp; Date:</t>
  </si>
  <si>
    <t>INVOICE</t>
  </si>
  <si>
    <t>Bill to</t>
  </si>
  <si>
    <t>ACTUAL COST CATEGORY</t>
  </si>
  <si>
    <t>CURRENT ACTUAL COST</t>
  </si>
  <si>
    <t>PRIOR ACTUAL COST</t>
  </si>
  <si>
    <t>CUMULATIVE ACTUAL</t>
  </si>
  <si>
    <t>New Actual Costs</t>
  </si>
  <si>
    <t>Gross Current Draw</t>
  </si>
  <si>
    <t>Credit / Deposit Applied</t>
  </si>
  <si>
    <t>AMOUNT DUE</t>
  </si>
  <si>
    <t>Previously Billed incl. Fee</t>
  </si>
  <si>
    <t>Cumulative Actual incl. Fee</t>
  </si>
  <si>
    <t>See INVOICE DETAIL for the cost-code reconciliation supporting this draw.</t>
  </si>
  <si>
    <t>INVOICE DETAIL - ACTUAL COST RECONCILIATION</t>
  </si>
  <si>
    <t>Cost Category</t>
  </si>
  <si>
    <t>Estimated Budget</t>
  </si>
  <si>
    <t>QB Cumulative Actual</t>
  </si>
  <si>
    <t>Previously Billed</t>
  </si>
  <si>
    <t>Variance to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</si>
</sst>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25">
    <font>
      <sz val="11"/>
      <name val="Carlito"/>
    </font>
    <font>
      <b/>
      <sz val="9"/>
      <color rgb="FFFFFFFF"/>
      <name val="Arial"/>
    </font>
    <font>
      <sz val="9"/>
      <name val="Arial"/>
    </font>
    <font>
      <b/>
      <sz val="9"/>
      <color rgb="FF333333"/>
      <name val="Arial"/>
    </font>
    <font>
      <b/>
      <sz val="9"/>
      <color rgb="FF243B6B"/>
      <name val="Arial"/>
    </font>
    <font>
      <b/>
      <sz val="9"/>
      <color rgb="FFA61B1B"/>
      <name val="Arial"/>
    </font>
    <font>
      <sz val="9"/>
      <color rgb="FF1F4E79"/>
      <name val="Arial"/>
    </font>
    <font>
      <b/>
      <sz val="9"/>
      <color rgb="FF5B7F35"/>
      <name val="Arial"/>
    </font>
    <font>
      <sz val="9"/>
      <color rgb="FF1F4E79"/>
      <name val="Arial"/>
    </font>
    <font>
      <b/>
      <sz val="8"/>
      <color rgb="FF333333"/>
      <name val="Arial"/>
    </font>
    <font>
      <b/>
      <sz val="8"/>
      <color rgb="FF5B7F35"/>
      <name val="Arial"/>
    </font>
    <font>
      <sz val="8"/>
      <color rgb="FF666666"/>
      <name val="Arial"/>
    </font>
    <font>
      <sz val="8"/>
      <name val="Arial"/>
    </font>
    <font>
      <b/>
      <i/>
      <sz val="8"/>
      <color rgb="FF5B7F35"/>
      <name val="Arial"/>
    </font>
    <font>
      <b/>
      <sz val="8"/>
      <name val="Arial"/>
    </font>
    <font>
      <b/>
      <sz val="8"/>
      <color rgb="FF555555"/>
      <name val="Arial"/>
    </font>
    <font>
      <sz val="8"/>
      <color rgb="FF555555"/>
      <name val="Arial"/>
    </font>
    <font>
      <b/>
      <sz val="8"/>
      <color rgb="FF243B6B"/>
      <name val="Arial"/>
    </font>
    <font>
      <b/>
      <sz val="8"/>
      <color rgb="FFA61B1B"/>
      <name val="Arial"/>
    </font>
    <font>
      <sz val="8"/>
      <name val="Carlito"/>
    </font>
    <font>
      <i/>
      <sz val="8"/>
      <color rgb="FF666666"/>
      <name val="Arial"/>
    </font>
    <font>
      <b/>
      <sz val="7"/>
      <color rgb="FF7F6000"/>
      <name val="Arial"/>
    </font>
    <font>
      <b/>
      <sz val="7"/>
      <color rgb="FFFFFFFF"/>
      <name val="Arial"/>
    </font>
    <font>
      <b/>
      <sz val="7"/>
      <color rgb="FF5B7F35"/>
      <name val="Arial"/>
    </font>
    <font>
      <sz val="7"/>
      <name val="Arial"/>
    </font>
  </fonts>
  <fills count="11">
    <fill>
      <patternFill patternType="none"/>
    </fill>
    <fill>
      <patternFill patternType="gray125"/>
    </fill>
    <fill>
      <patternFill patternType="solid">
        <fgColor rgb="FF243B6B"/>
      </patternFill>
    </fill>
    <fill>
      <patternFill patternType="solid">
        <fgColor rgb="FFFFF2CC"/>
      </patternFill>
    </fill>
    <fill>
      <patternFill patternType="solid">
        <fgColor rgb="FF5B7F35"/>
      </patternFill>
    </fill>
    <fill>
      <patternFill patternType="solid">
        <fgColor rgb="FFF4CCCC"/>
      </patternFill>
    </fill>
    <fill>
      <patternFill patternType="solid">
        <fgColor rgb="FFF3F5F7"/>
      </patternFill>
    </fill>
    <fill>
      <patternFill patternType="solid">
        <fgColor rgb="FFD9EAD3"/>
      </patternFill>
    </fill>
    <fill>
      <patternFill patternType="solid">
        <fgColor rgb="FFDCE6F1"/>
      </patternFill>
    </fill>
    <fill>
      <patternFill patternType="solid">
        <fgColor rgb="FFFFFFFF"/>
      </patternFill>
    </fill>
    <fill>
      <patternFill patternType="solid">
        <fgColor rgb="FFFCE4D6"/>
      </patternFill>
    </fill>
  </fills>
  <borders count="17">
    <border>
      <left/>
      <right/>
      <top/>
      <bottom/>
      <diagonal/>
    </border>
    <border>
      <left style="thin">
        <color rgb="FFCAD2DB"/>
      </left>
      <right style="thin">
        <color rgb="FFCAD2DB"/>
      </right>
      <top style="thin">
        <color rgb="FFCAD2DB"/>
      </top>
      <bottom style="thin">
        <color rgb="FFCAD2DB"/>
      </bottom>
      <diagonal/>
    </border>
    <border>
      <left style="medium">
        <color rgb="FF5B7F35"/>
      </left>
      <right style="medium">
        <color rgb="FF5B7F35"/>
      </right>
      <top style="medium">
        <color rgb="FF5B7F35"/>
      </top>
      <bottom style="medium">
        <color rgb="FF5B7F35"/>
      </bottom>
      <diagonal/>
    </border>
    <border>
      <left style="thin">
        <color rgb="FF243B6B"/>
      </left>
      <right style="thin">
        <color rgb="FF243B6B"/>
      </right>
      <top style="thin">
        <color rgb="FF243B6B"/>
      </top>
      <bottom style="thin">
        <color rgb="FF243B6B"/>
      </bottom>
      <diagonal/>
    </border>
    <border>
      <left style="thin">
        <color rgb="FF333333"/>
      </left>
      <right style="thin">
        <color rgb="FF333333"/>
      </right>
      <top style="thin">
        <color rgb="FF333333"/>
      </top>
      <bottom style="thin">
        <color rgb="FF333333"/>
      </bottom>
      <diagonal/>
    </border>
    <border>
      <left style="thin">
        <color rgb="FFC9A227"/>
      </left>
      <right/>
      <top style="thin">
        <color rgb="FFC9A227"/>
      </top>
      <bottom/>
      <diagonal/>
    </border>
    <border>
      <left/>
      <right/>
      <top style="thin">
        <color rgb="FFC9A227"/>
      </top>
      <bottom/>
      <diagonal/>
    </border>
    <border>
      <left/>
      <right style="thin">
        <color rgb="FFC9A227"/>
      </right>
      <top style="thin">
        <color rgb="FFC9A227"/>
      </top>
      <bottom/>
      <diagonal/>
    </border>
    <border>
      <left style="thin">
        <color rgb="FFC9A227"/>
      </left>
      <right/>
      <top/>
      <bottom/>
      <diagonal/>
    </border>
    <border>
      <left/>
      <right style="thin">
        <color rgb="FFC9A227"/>
      </right>
      <top/>
      <bottom/>
      <diagonal/>
    </border>
    <border>
      <left style="thin">
        <color rgb="FFC9A227"/>
      </left>
      <right/>
      <top/>
      <bottom style="thin">
        <color rgb="FFC9A227"/>
      </bottom>
      <diagonal/>
    </border>
    <border>
      <left/>
      <right/>
      <top/>
      <bottom style="thin">
        <color rgb="FFC9A227"/>
      </bottom>
      <diagonal/>
    </border>
    <border>
      <left/>
      <right style="thin">
        <color rgb="FFC9A227"/>
      </right>
      <top/>
      <bottom style="thin">
        <color rgb="FFC9A227"/>
      </bottom>
      <diagonal/>
    </border>
    <border>
      <left/>
      <right/>
      <top/>
      <bottom style="thin">
        <color rgb="FF333333"/>
      </bottom>
      <diagonal/>
    </border>
    <border>
      <left style="medium">
        <color rgb="FF243B6B"/>
      </left>
      <right/>
      <top style="medium">
        <color rgb="FF243B6B"/>
      </top>
      <bottom style="medium">
        <color rgb="FF243B6B"/>
      </bottom>
      <diagonal/>
    </border>
    <border>
      <left/>
      <right/>
      <top style="medium">
        <color rgb="FF243B6B"/>
      </top>
      <bottom style="medium">
        <color rgb="FF243B6B"/>
      </bottom>
      <diagonal/>
    </border>
    <border>
      <left/>
      <right style="medium">
        <color rgb="FF243B6B"/>
      </right>
      <top style="medium">
        <color rgb="FF243B6B"/>
      </top>
      <bottom style="medium">
        <color rgb="FF243B6B"/>
      </bottom>
      <diagonal/>
    </border>
  </borders>
  <cellStyleXfs count="1">
    <xf numFmtId="0" fontId="0" fillId="0" borderId="0"/>
  </cellStyleXfs>
  <cellXfs count="82">
    <xf numFmtId="0" fontId="0" fillId="0" borderId="0" xfId="0"/>
    <xf numFmtId="0" fontId="2" fillId="0" borderId="0" xfId="0" applyFont="1"/>
    <xf numFmtId="0" fontId="1" fillId="4" borderId="1" xfId="0" applyFont="1" applyFill="1" applyBorder="1"/>
    <xf numFmtId="0" fontId="4" fillId="0" borderId="1" xfId="0" applyFont="1" applyBorder="1" applyAlignment="1">
      <alignment horizontal="center" vertical="top"/>
    </xf>
    <xf numFmtId="0" fontId="2" fillId="0" borderId="1" xfId="0" applyFont="1" applyBorder="1" applyAlignment="1">
      <alignment wrapText="1"/>
    </xf>
    <xf numFmtId="0" fontId="3" fillId="6" borderId="1" xfId="0" applyFont="1" applyFill="1" applyBorder="1"/>
    <xf numFmtId="0" fontId="6" fillId="3" borderId="1" xfId="0" applyFont="1" applyFill="1" applyBorder="1"/>
    <xf numFmtId="14" fontId="6" fillId="3" borderId="1" xfId="0" applyNumberFormat="1" applyFont="1" applyFill="1" applyBorder="1"/>
    <xf numFmtId="9" fontId="6" fillId="3" borderId="1" xfId="0" applyNumberFormat="1" applyFont="1" applyFill="1" applyBorder="1"/>
    <xf numFmtId="0" fontId="6" fillId="3" borderId="1" xfId="0" applyFont="1" applyFill="1" applyBorder="1" applyAlignment="1">
      <alignment wrapText="1"/>
    </xf>
    <xf numFmtId="0" fontId="7" fillId="7" borderId="2" xfId="0" applyFont="1" applyFill="1" applyBorder="1"/>
    <xf numFmtId="164" fontId="6" fillId="3" borderId="1" xfId="0" applyNumberFormat="1" applyFont="1" applyFill="1" applyBorder="1"/>
    <xf numFmtId="0" fontId="1" fillId="4" borderId="1" xfId="0" applyFont="1" applyFill="1" applyBorder="1" applyAlignment="1">
      <alignment horizontal="center" wrapText="1"/>
    </xf>
    <xf numFmtId="0" fontId="2" fillId="0" borderId="1" xfId="0" applyFont="1" applyBorder="1"/>
    <xf numFmtId="164" fontId="2" fillId="3" borderId="1" xfId="0" applyNumberFormat="1" applyFont="1" applyFill="1" applyBorder="1"/>
    <xf numFmtId="164" fontId="2" fillId="3" borderId="1" xfId="0" applyNumberFormat="1" applyFont="1" applyFill="1" applyBorder="1" applyAlignment="1">
      <alignment wrapText="1"/>
    </xf>
    <xf numFmtId="164" fontId="2" fillId="8" borderId="1" xfId="0" applyNumberFormat="1" applyFont="1" applyFill="1" applyBorder="1"/>
    <xf numFmtId="0" fontId="2" fillId="3" borderId="1" xfId="0" applyFont="1" applyFill="1" applyBorder="1"/>
    <xf numFmtId="0" fontId="2" fillId="8" borderId="1" xfId="0" applyFont="1" applyFill="1" applyBorder="1"/>
    <xf numFmtId="164" fontId="4" fillId="6" borderId="3" xfId="0" applyNumberFormat="1" applyFont="1" applyFill="1" applyBorder="1"/>
    <xf numFmtId="164" fontId="5" fillId="6" borderId="3" xfId="0" applyNumberFormat="1" applyFont="1" applyFill="1" applyBorder="1"/>
    <xf numFmtId="0" fontId="1" fillId="4" borderId="0" xfId="0" applyFont="1" applyFill="1"/>
    <xf numFmtId="0" fontId="2" fillId="9" borderId="1" xfId="0" applyFont="1" applyFill="1" applyBorder="1"/>
    <xf numFmtId="164" fontId="2" fillId="9" borderId="1" xfId="0" applyNumberFormat="1" applyFont="1" applyFill="1" applyBorder="1"/>
    <xf numFmtId="0" fontId="2" fillId="6" borderId="1" xfId="0" applyFont="1" applyFill="1" applyBorder="1"/>
    <xf numFmtId="164" fontId="2" fillId="6" borderId="1" xfId="0" applyNumberFormat="1" applyFont="1" applyFill="1" applyBorder="1"/>
    <xf numFmtId="164" fontId="1" fillId="2" borderId="3" xfId="0" applyNumberFormat="1" applyFont="1" applyFill="1" applyBorder="1"/>
    <xf numFmtId="0" fontId="1" fillId="4" borderId="1" xfId="0" applyFont="1" applyFill="1" applyBorder="1" applyAlignment="1">
      <alignment horizontal="center"/>
    </xf>
    <xf numFmtId="0" fontId="8" fillId="3" borderId="1" xfId="0" applyFont="1" applyFill="1" applyBorder="1"/>
    <xf numFmtId="0" fontId="12" fillId="0" borderId="0" xfId="0" applyFont="1"/>
    <xf numFmtId="0" fontId="16" fillId="0" borderId="0" xfId="0" applyFont="1"/>
    <xf numFmtId="0" fontId="17" fillId="6" borderId="4" xfId="0" applyFont="1" applyFill="1" applyBorder="1" applyAlignment="1">
      <alignment horizontal="center"/>
    </xf>
    <xf numFmtId="0" fontId="9" fillId="0" borderId="1" xfId="0" applyFont="1" applyBorder="1"/>
    <xf numFmtId="164" fontId="12" fillId="0" borderId="1" xfId="0" applyNumberFormat="1" applyFont="1" applyBorder="1"/>
    <xf numFmtId="164" fontId="17" fillId="0" borderId="0" xfId="0" applyNumberFormat="1" applyFont="1"/>
    <xf numFmtId="164" fontId="18" fillId="0" borderId="0" xfId="0" applyNumberFormat="1" applyFont="1"/>
    <xf numFmtId="0" fontId="12" fillId="0" borderId="13" xfId="0" applyFont="1" applyBorder="1"/>
    <xf numFmtId="0" fontId="19" fillId="0" borderId="0" xfId="0" applyFont="1"/>
    <xf numFmtId="0" fontId="17" fillId="6" borderId="4" xfId="0" applyFont="1" applyFill="1" applyBorder="1" applyAlignment="1">
      <alignment horizontal="center" wrapText="1"/>
    </xf>
    <xf numFmtId="0" fontId="14" fillId="0" borderId="1" xfId="0" applyFont="1" applyBorder="1"/>
    <xf numFmtId="164" fontId="18" fillId="8" borderId="16" xfId="0" applyNumberFormat="1" applyFont="1" applyFill="1" applyBorder="1"/>
    <xf numFmtId="0" fontId="24" fillId="0" borderId="0" xfId="0" applyFont="1"/>
    <xf numFmtId="0" fontId="22" fillId="4" borderId="1" xfId="0" applyFont="1" applyFill="1" applyBorder="1" applyAlignment="1">
      <alignment horizontal="center" wrapText="1"/>
    </xf>
    <xf numFmtId="0" fontId="24" fillId="0" borderId="1" xfId="0" applyFont="1" applyBorder="1"/>
    <xf numFmtId="164" fontId="24" fillId="0" borderId="1" xfId="0" applyNumberFormat="1" applyFont="1" applyBorder="1"/>
    <xf numFmtId="0" fontId="1" fillId="2" borderId="0" xfId="0" applyFont="1" applyFill="1" applyAlignment="1">
      <alignment vertical="center"/>
    </xf>
    <xf numFmtId="0" fontId="3" fillId="3" borderId="0" xfId="0" applyFont="1" applyFill="1"/>
    <xf numFmtId="0" fontId="5" fillId="5" borderId="0" xfId="0" applyFont="1" applyFill="1" applyAlignment="1">
      <alignment vertical="center" wrapText="1"/>
    </xf>
    <xf numFmtId="0" fontId="1" fillId="2" borderId="0" xfId="0" applyFont="1" applyFill="1"/>
    <xf numFmtId="164" fontId="4" fillId="6" borderId="3" xfId="0" applyNumberFormat="1" applyFont="1" applyFill="1" applyBorder="1"/>
    <xf numFmtId="0" fontId="3" fillId="3" borderId="0" xfId="0" applyFont="1" applyFill="1" applyAlignment="1">
      <alignment vertical="center" wrapText="1"/>
    </xf>
    <xf numFmtId="164" fontId="1" fillId="2" borderId="3" xfId="0" applyNumberFormat="1" applyFont="1" applyFill="1" applyBorder="1"/>
    <xf numFmtId="164" fontId="17" fillId="0" borderId="0" xfId="0" applyNumberFormat="1" applyFont="1"/>
    <xf numFmtId="0" fontId="14" fillId="0" borderId="0" xfId="0" applyFont="1"/>
    <xf numFmtId="0" fontId="12" fillId="0" borderId="1" xfId="0" applyFont="1" applyBorder="1" applyAlignment="1">
      <alignment wrapText="1"/>
    </xf>
    <xf numFmtId="0" fontId="21" fillId="10" borderId="5" xfId="0" applyFont="1" applyFill="1" applyBorder="1" applyAlignment="1">
      <alignment vertical="top" wrapText="1"/>
    </xf>
    <xf numFmtId="0" fontId="21" fillId="10" borderId="6" xfId="0" applyFont="1" applyFill="1" applyBorder="1" applyAlignment="1">
      <alignment vertical="top" wrapText="1"/>
    </xf>
    <xf numFmtId="0" fontId="21" fillId="10" borderId="7" xfId="0" applyFont="1" applyFill="1" applyBorder="1" applyAlignment="1">
      <alignment vertical="top" wrapText="1"/>
    </xf>
    <xf numFmtId="0" fontId="21" fillId="10" borderId="8" xfId="0" applyFont="1" applyFill="1" applyBorder="1" applyAlignment="1">
      <alignment vertical="top" wrapText="1"/>
    </xf>
    <xf numFmtId="0" fontId="21" fillId="10" borderId="0" xfId="0" applyFont="1" applyFill="1" applyAlignment="1">
      <alignment vertical="top" wrapText="1"/>
    </xf>
    <xf numFmtId="0" fontId="21" fillId="10" borderId="9" xfId="0" applyFont="1" applyFill="1" applyBorder="1" applyAlignment="1">
      <alignment vertical="top" wrapText="1"/>
    </xf>
    <xf numFmtId="0" fontId="21" fillId="10" borderId="10" xfId="0" applyFont="1" applyFill="1" applyBorder="1" applyAlignment="1">
      <alignment vertical="top" wrapText="1"/>
    </xf>
    <xf numFmtId="0" fontId="21" fillId="10" borderId="11" xfId="0" applyFont="1" applyFill="1" applyBorder="1" applyAlignment="1">
      <alignment vertical="top" wrapText="1"/>
    </xf>
    <xf numFmtId="0" fontId="21" fillId="10" borderId="12" xfId="0" applyFont="1" applyFill="1" applyBorder="1" applyAlignment="1">
      <alignment vertical="top" wrapText="1"/>
    </xf>
    <xf numFmtId="0" fontId="16" fillId="0" borderId="0" xfId="0" applyFont="1"/>
    <xf numFmtId="0" fontId="14" fillId="0" borderId="0" xfId="0" applyFont="1" applyAlignment="1">
      <alignment horizontal="right"/>
    </xf>
    <xf numFmtId="14" fontId="12" fillId="0" borderId="0" xfId="0" applyNumberFormat="1" applyFont="1" applyAlignment="1">
      <alignment horizontal="right"/>
    </xf>
    <xf numFmtId="0" fontId="17" fillId="6" borderId="4" xfId="0" applyFont="1" applyFill="1" applyBorder="1" applyAlignment="1">
      <alignment horizontal="center"/>
    </xf>
    <xf numFmtId="0" fontId="15" fillId="0" borderId="0" xfId="0" applyFont="1"/>
    <xf numFmtId="0" fontId="9" fillId="0" borderId="0" xfId="0" applyFont="1" applyAlignment="1">
      <alignment horizontal="center" vertical="center"/>
    </xf>
    <xf numFmtId="0" fontId="10" fillId="0" borderId="0" xfId="0" applyFont="1" applyAlignment="1">
      <alignment horizontal="center"/>
    </xf>
    <xf numFmtId="0" fontId="11" fillId="0" borderId="0" xfId="0" applyFont="1" applyAlignment="1">
      <alignment horizontal="center"/>
    </xf>
    <xf numFmtId="0" fontId="13" fillId="0" borderId="0" xfId="0" applyFont="1"/>
    <xf numFmtId="164" fontId="18" fillId="8" borderId="14" xfId="0" applyNumberFormat="1" applyFont="1" applyFill="1" applyBorder="1"/>
    <xf numFmtId="164" fontId="18" fillId="8" borderId="15" xfId="0" applyNumberFormat="1" applyFont="1" applyFill="1" applyBorder="1"/>
    <xf numFmtId="0" fontId="20" fillId="0" borderId="0" xfId="0" applyFont="1" applyAlignment="1">
      <alignment horizontal="center" vertical="center"/>
    </xf>
    <xf numFmtId="164" fontId="12" fillId="0" borderId="1" xfId="0" applyNumberFormat="1" applyFont="1" applyBorder="1"/>
    <xf numFmtId="0" fontId="17" fillId="6" borderId="4" xfId="0" applyFont="1" applyFill="1" applyBorder="1" applyAlignment="1">
      <alignment horizontal="center" wrapText="1"/>
    </xf>
    <xf numFmtId="0" fontId="10" fillId="0" borderId="0" xfId="0" applyFont="1" applyAlignment="1">
      <alignment horizontal="right"/>
    </xf>
    <xf numFmtId="0" fontId="16" fillId="0" borderId="0" xfId="0" applyFont="1" applyAlignment="1">
      <alignment horizontal="right"/>
    </xf>
    <xf numFmtId="0" fontId="22" fillId="2" borderId="0" xfId="0" applyFont="1" applyFill="1"/>
    <xf numFmtId="0" fontId="23" fillId="0" borderId="0" xfId="0" applyFont="1" applyAlignment="1">
      <alignment horizontal="center"/>
    </xf>
  </cellXfs>
  <cellStyles count="1">
    <cellStyle name="Normal" xfId="0" builtinId="0"/>
  </cellStyles>
  <dxfs count="3">
    <dxf>
      <font>
        <b/>
        <color rgb="FFA61B1B"/>
      </font>
      <fill>
        <patternFill>
          <bgColor rgb="FFF4CCCC"/>
        </patternFill>
      </fill>
    </dxf>
    <dxf>
      <font>
        <b/>
        <color rgb="FFA61B1B"/>
      </font>
      <fill>
        <patternFill>
          <bgColor rgb="FFF4CCCC"/>
        </patternFill>
      </fill>
    </dxf>
    <dxf>
      <font>
        <b/>
        <color rgb="FFA61B1B"/>
      </font>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19050</xdr:rowOff>
    </xdr:from>
    <xdr:ext cx="2333625" cy="400050"/>
    <xdr:pic>
      <xdr:nvPicPr>
        <xdr:cNvPr id="2" name="ecb87161-216b-4f24-84da-2ce4def91397">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0</xdr:row>
      <xdr:rowOff>19050</xdr:rowOff>
    </xdr:from>
    <xdr:ext cx="2333625" cy="400050"/>
    <xdr:pic>
      <xdr:nvPicPr>
        <xdr:cNvPr id="2" name="a1e0a964-30d7-4cc9-98c4-da5bf3fb1f02">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showGridLines="0" workbookViewId="0">
      <selection sqref="A1:H2"/>
    </sheetView>
  </sheetViews>
  <sheetFormatPr defaultRowHeight="13.8"/>
  <cols>
    <col min="1" max="1" width="10" customWidth="1"/>
    <col min="2" max="2" width="98" customWidth="1"/>
  </cols>
  <sheetData>
    <row r="1" spans="1:8">
      <c r="A1" s="45" t="s">
        <v>0</v>
      </c>
      <c r="B1" s="45"/>
      <c r="C1" s="45"/>
      <c r="D1" s="45"/>
      <c r="E1" s="45"/>
      <c r="F1" s="45"/>
      <c r="G1" s="45"/>
      <c r="H1" s="45"/>
    </row>
    <row r="2" spans="1:8">
      <c r="A2" s="45"/>
      <c r="B2" s="45"/>
      <c r="C2" s="45"/>
      <c r="D2" s="45"/>
      <c r="E2" s="45"/>
      <c r="F2" s="45"/>
      <c r="G2" s="45"/>
      <c r="H2" s="45"/>
    </row>
    <row r="3" spans="1:8">
      <c r="A3" s="1"/>
      <c r="B3" s="1"/>
      <c r="C3" s="1"/>
      <c r="D3" s="1"/>
      <c r="E3" s="1"/>
      <c r="F3" s="1"/>
      <c r="G3" s="1"/>
      <c r="H3" s="1"/>
    </row>
    <row r="4" spans="1:8">
      <c r="A4" s="46" t="s">
        <v>1</v>
      </c>
      <c r="B4" s="46"/>
      <c r="C4" s="46"/>
      <c r="D4" s="46"/>
      <c r="E4" s="46"/>
      <c r="F4" s="46"/>
      <c r="G4" s="46"/>
      <c r="H4" s="46"/>
    </row>
    <row r="5" spans="1:8">
      <c r="A5" s="1"/>
      <c r="B5" s="1"/>
      <c r="C5" s="1"/>
      <c r="D5" s="1"/>
      <c r="E5" s="1"/>
      <c r="F5" s="1"/>
      <c r="G5" s="1"/>
      <c r="H5" s="1"/>
    </row>
    <row r="6" spans="1:8">
      <c r="A6" s="2" t="s">
        <v>2</v>
      </c>
      <c r="B6" s="2" t="s">
        <v>3</v>
      </c>
      <c r="C6" s="1"/>
      <c r="D6" s="1"/>
      <c r="E6" s="1"/>
      <c r="F6" s="1"/>
      <c r="G6" s="1"/>
      <c r="H6" s="1"/>
    </row>
    <row r="7" spans="1:8">
      <c r="A7" s="3" t="s">
        <v>4</v>
      </c>
      <c r="B7" s="4" t="s">
        <v>5</v>
      </c>
      <c r="C7" s="1"/>
      <c r="D7" s="1"/>
      <c r="E7" s="1"/>
      <c r="F7" s="1"/>
      <c r="G7" s="1"/>
      <c r="H7" s="1"/>
    </row>
    <row r="8" spans="1:8">
      <c r="A8" s="3" t="s">
        <v>6</v>
      </c>
      <c r="B8" s="4" t="s">
        <v>7</v>
      </c>
      <c r="C8" s="1"/>
      <c r="D8" s="1"/>
      <c r="E8" s="1"/>
      <c r="F8" s="1"/>
      <c r="G8" s="1"/>
      <c r="H8" s="1"/>
    </row>
    <row r="9" spans="1:8">
      <c r="A9" s="3" t="s">
        <v>8</v>
      </c>
      <c r="B9" s="4" t="s">
        <v>9</v>
      </c>
      <c r="C9" s="1"/>
      <c r="D9" s="1"/>
      <c r="E9" s="1"/>
      <c r="F9" s="1"/>
      <c r="G9" s="1"/>
      <c r="H9" s="1"/>
    </row>
    <row r="10" spans="1:8" ht="23.4">
      <c r="A10" s="3" t="s">
        <v>10</v>
      </c>
      <c r="B10" s="4" t="s">
        <v>11</v>
      </c>
      <c r="C10" s="1"/>
      <c r="D10" s="1"/>
      <c r="E10" s="1"/>
      <c r="F10" s="1"/>
      <c r="G10" s="1"/>
      <c r="H10" s="1"/>
    </row>
    <row r="11" spans="1:8" ht="23.4">
      <c r="A11" s="3" t="s">
        <v>12</v>
      </c>
      <c r="B11" s="4" t="s">
        <v>13</v>
      </c>
      <c r="C11" s="1"/>
      <c r="D11" s="1"/>
      <c r="E11" s="1"/>
      <c r="F11" s="1"/>
      <c r="G11" s="1"/>
      <c r="H11" s="1"/>
    </row>
    <row r="12" spans="1:8">
      <c r="A12" s="3" t="s">
        <v>14</v>
      </c>
      <c r="B12" s="4" t="s">
        <v>15</v>
      </c>
      <c r="C12" s="1"/>
      <c r="D12" s="1"/>
      <c r="E12" s="1"/>
      <c r="F12" s="1"/>
      <c r="G12" s="1"/>
      <c r="H12" s="1"/>
    </row>
    <row r="13" spans="1:8" ht="23.4">
      <c r="A13" s="3" t="s">
        <v>16</v>
      </c>
      <c r="B13" s="4" t="s">
        <v>17</v>
      </c>
      <c r="C13" s="1"/>
      <c r="D13" s="1"/>
      <c r="E13" s="1"/>
      <c r="F13" s="1"/>
      <c r="G13" s="1"/>
      <c r="H13" s="1"/>
    </row>
    <row r="14" spans="1:8">
      <c r="A14" s="3" t="s">
        <v>18</v>
      </c>
      <c r="B14" s="4" t="s">
        <v>19</v>
      </c>
      <c r="C14" s="1"/>
      <c r="D14" s="1"/>
      <c r="E14" s="1"/>
      <c r="F14" s="1"/>
      <c r="G14" s="1"/>
      <c r="H14" s="1"/>
    </row>
    <row r="15" spans="1:8">
      <c r="A15" s="1"/>
      <c r="B15" s="1"/>
      <c r="C15" s="1"/>
      <c r="D15" s="1"/>
      <c r="E15" s="1"/>
      <c r="F15" s="1"/>
      <c r="G15" s="1"/>
      <c r="H15" s="1"/>
    </row>
    <row r="16" spans="1:8">
      <c r="A16" s="47" t="s">
        <v>20</v>
      </c>
      <c r="B16" s="47"/>
      <c r="C16" s="47"/>
      <c r="D16" s="47"/>
      <c r="E16" s="47"/>
      <c r="F16" s="47"/>
      <c r="G16" s="47"/>
      <c r="H16" s="47"/>
    </row>
    <row r="17" spans="1:8">
      <c r="A17" s="47"/>
      <c r="B17" s="47"/>
      <c r="C17" s="47"/>
      <c r="D17" s="47"/>
      <c r="E17" s="47"/>
      <c r="F17" s="47"/>
      <c r="G17" s="47"/>
      <c r="H17" s="47"/>
    </row>
    <row r="18" spans="1:8">
      <c r="A18" s="47"/>
      <c r="B18" s="47"/>
      <c r="C18" s="47"/>
      <c r="D18" s="47"/>
      <c r="E18" s="47"/>
      <c r="F18" s="47"/>
      <c r="G18" s="47"/>
      <c r="H18" s="47"/>
    </row>
    <row r="19" spans="1:8">
      <c r="A19" s="47"/>
      <c r="B19" s="47"/>
      <c r="C19" s="47"/>
      <c r="D19" s="47"/>
      <c r="E19" s="47"/>
      <c r="F19" s="47"/>
      <c r="G19" s="47"/>
      <c r="H19" s="47"/>
    </row>
  </sheetData>
  <mergeCells count="3">
    <mergeCell ref="A1:H2"/>
    <mergeCell ref="A4:H4"/>
    <mergeCell ref="A16:H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showGridLines="0" workbookViewId="0">
      <selection activeCell="B22" sqref="B22"/>
    </sheetView>
  </sheetViews>
  <sheetFormatPr defaultRowHeight="13.8"/>
  <cols>
    <col min="1" max="1" width="34" customWidth="1"/>
    <col min="2" max="2" width="78" customWidth="1"/>
  </cols>
  <sheetData>
    <row r="1" spans="1:4">
      <c r="A1" s="48" t="s">
        <v>21</v>
      </c>
      <c r="B1" s="48"/>
      <c r="C1" s="48"/>
      <c r="D1" s="48"/>
    </row>
    <row r="2" spans="1:4">
      <c r="A2" s="48"/>
      <c r="B2" s="48"/>
      <c r="C2" s="48"/>
      <c r="D2" s="48"/>
    </row>
    <row r="3" spans="1:4">
      <c r="A3" s="1"/>
      <c r="B3" s="1"/>
      <c r="C3" s="1"/>
      <c r="D3" s="1"/>
    </row>
    <row r="4" spans="1:4">
      <c r="A4" s="5" t="s">
        <v>22</v>
      </c>
      <c r="B4" s="28" t="s">
        <v>23</v>
      </c>
      <c r="C4" s="1"/>
      <c r="D4" s="1"/>
    </row>
    <row r="5" spans="1:4">
      <c r="A5" s="5" t="s">
        <v>24</v>
      </c>
      <c r="B5" s="6" t="s">
        <v>25</v>
      </c>
      <c r="C5" s="1"/>
      <c r="D5" s="1"/>
    </row>
    <row r="6" spans="1:4">
      <c r="A6" s="5" t="s">
        <v>26</v>
      </c>
      <c r="B6" s="6" t="s">
        <v>27</v>
      </c>
      <c r="C6" s="1"/>
      <c r="D6" s="1"/>
    </row>
    <row r="7" spans="1:4">
      <c r="A7" s="5" t="s">
        <v>28</v>
      </c>
      <c r="B7" s="6" t="s">
        <v>29</v>
      </c>
      <c r="C7" s="1"/>
      <c r="D7" s="1"/>
    </row>
    <row r="8" spans="1:4">
      <c r="A8" s="5" t="s">
        <v>30</v>
      </c>
      <c r="B8" s="6" t="s">
        <v>31</v>
      </c>
      <c r="C8" s="1"/>
      <c r="D8" s="1"/>
    </row>
    <row r="9" spans="1:4">
      <c r="A9" s="5" t="s">
        <v>32</v>
      </c>
      <c r="B9" s="6"/>
      <c r="C9" s="1"/>
      <c r="D9" s="1"/>
    </row>
    <row r="10" spans="1:4">
      <c r="A10" s="5" t="s">
        <v>33</v>
      </c>
      <c r="B10" s="6"/>
      <c r="C10" s="1"/>
      <c r="D10" s="1"/>
    </row>
    <row r="11" spans="1:4">
      <c r="A11" s="5" t="s">
        <v>34</v>
      </c>
      <c r="B11" s="6"/>
      <c r="C11" s="1"/>
      <c r="D11" s="1"/>
    </row>
    <row r="12" spans="1:4">
      <c r="A12" s="5" t="s">
        <v>35</v>
      </c>
      <c r="B12" s="6"/>
      <c r="C12" s="1"/>
      <c r="D12" s="1"/>
    </row>
    <row r="13" spans="1:4">
      <c r="A13" s="5" t="s">
        <v>36</v>
      </c>
      <c r="B13" s="6"/>
      <c r="C13" s="1"/>
      <c r="D13" s="1"/>
    </row>
    <row r="14" spans="1:4">
      <c r="A14" s="5" t="s">
        <v>37</v>
      </c>
      <c r="B14" s="6"/>
      <c r="C14" s="1"/>
      <c r="D14" s="1"/>
    </row>
    <row r="15" spans="1:4">
      <c r="A15" s="5" t="s">
        <v>38</v>
      </c>
      <c r="B15" s="6"/>
      <c r="C15" s="1"/>
      <c r="D15" s="1"/>
    </row>
    <row r="16" spans="1:4">
      <c r="A16" s="5" t="s">
        <v>39</v>
      </c>
      <c r="B16" s="6"/>
      <c r="C16" s="1"/>
      <c r="D16" s="1"/>
    </row>
    <row r="17" spans="1:4">
      <c r="A17" s="5" t="s">
        <v>40</v>
      </c>
      <c r="B17" s="7"/>
      <c r="C17" s="1"/>
      <c r="D17" s="1"/>
    </row>
    <row r="18" spans="1:4">
      <c r="A18" s="5" t="s">
        <v>41</v>
      </c>
      <c r="B18" s="8">
        <v>0.18</v>
      </c>
      <c r="C18" s="1"/>
      <c r="D18" s="1"/>
    </row>
    <row r="19" spans="1:4">
      <c r="A19" s="5" t="s">
        <v>42</v>
      </c>
      <c r="B19" s="8">
        <v>0.4</v>
      </c>
      <c r="C19" s="1"/>
      <c r="D19" s="1"/>
    </row>
    <row r="20" spans="1:4" ht="23.4">
      <c r="A20" s="5" t="s">
        <v>43</v>
      </c>
      <c r="B20" s="9" t="s">
        <v>44</v>
      </c>
      <c r="C20" s="1"/>
      <c r="D20" s="1"/>
    </row>
    <row r="21" spans="1:4">
      <c r="A21" s="10" t="s">
        <v>45</v>
      </c>
      <c r="B21" s="10">
        <v>1</v>
      </c>
      <c r="C21" s="1"/>
      <c r="D21" s="1"/>
    </row>
    <row r="22" spans="1:4">
      <c r="A22" s="5" t="s">
        <v>46</v>
      </c>
      <c r="B22" s="6"/>
      <c r="C22" s="1"/>
      <c r="D22" s="1"/>
    </row>
    <row r="23" spans="1:4">
      <c r="A23" s="5" t="s">
        <v>47</v>
      </c>
      <c r="B23" s="7"/>
      <c r="C23" s="1"/>
      <c r="D23" s="1"/>
    </row>
    <row r="24" spans="1:4">
      <c r="A24" s="5" t="s">
        <v>48</v>
      </c>
      <c r="B24" s="7"/>
      <c r="C24" s="1"/>
      <c r="D24" s="1"/>
    </row>
    <row r="25" spans="1:4">
      <c r="A25" s="5" t="s">
        <v>49</v>
      </c>
      <c r="B25" s="11">
        <v>0</v>
      </c>
      <c r="C25" s="1"/>
      <c r="D25" s="1"/>
    </row>
    <row r="26" spans="1:4">
      <c r="A26" s="5" t="s">
        <v>50</v>
      </c>
      <c r="B26" s="6" t="s">
        <v>51</v>
      </c>
      <c r="C26" s="1"/>
      <c r="D26" s="1"/>
    </row>
  </sheetData>
  <mergeCells count="1">
    <mergeCell ref="A1:D2"/>
  </mergeCells>
  <dataValidations count="1">
    <dataValidation type="whole" sqref="B21" xr:uid="{00000000-0002-0000-0100-000000000000}">
      <formula1>1</formula1>
      <formula2>10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22"/>
  <sheetViews>
    <sheetView showGridLines="0" topLeftCell="B1" workbookViewId="0">
      <selection activeCell="F19" sqref="F19"/>
    </sheetView>
  </sheetViews>
  <sheetFormatPr defaultRowHeight="13.8"/>
  <cols>
    <col min="1" max="1" width="9" customWidth="1"/>
    <col min="2" max="2" width="29" customWidth="1"/>
    <col min="3" max="3" width="16" customWidth="1"/>
    <col min="4" max="4" width="52" customWidth="1"/>
    <col min="5" max="5" width="15" customWidth="1"/>
    <col min="6" max="6" width="30" customWidth="1"/>
    <col min="7" max="8" width="16" customWidth="1"/>
    <col min="9" max="10" width="14" customWidth="1"/>
    <col min="11" max="11" width="30" customWidth="1"/>
    <col min="12" max="16" width="16" customWidth="1"/>
  </cols>
  <sheetData>
    <row r="1" spans="1:16">
      <c r="A1" s="48" t="s">
        <v>52</v>
      </c>
      <c r="B1" s="48"/>
      <c r="C1" s="48"/>
      <c r="D1" s="48"/>
      <c r="E1" s="48"/>
      <c r="F1" s="48"/>
      <c r="G1" s="48"/>
      <c r="H1" s="48"/>
      <c r="I1" s="48"/>
      <c r="J1" s="48"/>
      <c r="K1" s="48"/>
      <c r="L1" s="48"/>
      <c r="M1" s="48"/>
      <c r="N1" s="48"/>
      <c r="O1" s="48"/>
      <c r="P1" s="48"/>
    </row>
    <row r="2" spans="1:16">
      <c r="A2" s="48"/>
      <c r="B2" s="48"/>
      <c r="C2" s="48"/>
      <c r="D2" s="48"/>
      <c r="E2" s="48"/>
      <c r="F2" s="48"/>
      <c r="G2" s="48"/>
      <c r="H2" s="48"/>
      <c r="I2" s="48"/>
      <c r="J2" s="48"/>
      <c r="K2" s="48"/>
      <c r="L2" s="48"/>
      <c r="M2" s="48"/>
      <c r="N2" s="48"/>
      <c r="O2" s="48"/>
      <c r="P2" s="48"/>
    </row>
    <row r="3" spans="1:16">
      <c r="A3" s="46" t="s">
        <v>53</v>
      </c>
      <c r="B3" s="46"/>
      <c r="C3" s="46"/>
      <c r="D3" s="46"/>
      <c r="E3" s="46"/>
      <c r="F3" s="46"/>
      <c r="G3" s="46"/>
      <c r="H3" s="46"/>
      <c r="I3" s="46"/>
      <c r="J3" s="46"/>
      <c r="K3" s="46"/>
      <c r="L3" s="46"/>
      <c r="M3" s="46"/>
      <c r="N3" s="46"/>
      <c r="O3" s="46"/>
      <c r="P3" s="46"/>
    </row>
    <row r="4" spans="1:16">
      <c r="A4" s="1"/>
      <c r="B4" s="1"/>
      <c r="C4" s="1"/>
      <c r="D4" s="1"/>
      <c r="E4" s="1"/>
      <c r="F4" s="1"/>
      <c r="G4" s="1"/>
      <c r="H4" s="1"/>
      <c r="I4" s="1"/>
      <c r="J4" s="1"/>
      <c r="K4" s="1"/>
      <c r="L4" s="1"/>
      <c r="M4" s="1"/>
      <c r="N4" s="1"/>
      <c r="O4" s="1"/>
      <c r="P4" s="1"/>
    </row>
    <row r="5" spans="1:16" ht="24">
      <c r="A5" s="12" t="s">
        <v>54</v>
      </c>
      <c r="B5" s="12" t="s">
        <v>55</v>
      </c>
      <c r="C5" s="12" t="s">
        <v>56</v>
      </c>
      <c r="D5" s="12" t="s">
        <v>57</v>
      </c>
      <c r="E5" s="12" t="s">
        <v>58</v>
      </c>
      <c r="F5" s="12" t="s">
        <v>59</v>
      </c>
      <c r="G5" s="12" t="s">
        <v>60</v>
      </c>
      <c r="H5" s="12" t="s">
        <v>61</v>
      </c>
      <c r="I5" s="12" t="s">
        <v>62</v>
      </c>
      <c r="J5" s="12" t="s">
        <v>63</v>
      </c>
      <c r="K5" s="12" t="s">
        <v>64</v>
      </c>
      <c r="L5" s="12" t="s">
        <v>65</v>
      </c>
      <c r="M5" s="12" t="s">
        <v>66</v>
      </c>
      <c r="N5" s="12" t="s">
        <v>67</v>
      </c>
      <c r="O5" s="12" t="s">
        <v>68</v>
      </c>
      <c r="P5" s="12" t="s">
        <v>69</v>
      </c>
    </row>
    <row r="6" spans="1:16">
      <c r="A6" s="13">
        <v>1010</v>
      </c>
      <c r="B6" s="13" t="s">
        <v>70</v>
      </c>
      <c r="C6" s="14">
        <v>0</v>
      </c>
      <c r="D6" s="15"/>
      <c r="E6" s="15">
        <v>0</v>
      </c>
      <c r="F6" s="15"/>
      <c r="G6" s="14">
        <v>0</v>
      </c>
      <c r="H6" s="16">
        <f t="shared" ref="H6:H37" si="0">C6+E6-G6</f>
        <v>0</v>
      </c>
      <c r="I6" s="17" t="s">
        <v>71</v>
      </c>
      <c r="J6" s="17" t="s">
        <v>71</v>
      </c>
      <c r="K6" s="18" t="s">
        <v>72</v>
      </c>
      <c r="L6" s="16">
        <f>'COST RECONCILIATION'!D6</f>
        <v>0</v>
      </c>
      <c r="M6" s="16">
        <f>'COST RECONCILIATION'!E6</f>
        <v>0</v>
      </c>
      <c r="N6" s="16">
        <f>'COST RECONCILIATION'!F6</f>
        <v>0</v>
      </c>
      <c r="O6" s="16">
        <f t="shared" ref="O6:O37" si="1">L6-H6</f>
        <v>0</v>
      </c>
      <c r="P6" s="18" t="str">
        <f t="shared" ref="P6:P37" si="2">IF(J6="No","EXCLUDED",IF(L6&gt;H6,"OVER BUDGET","OK"))</f>
        <v>OK</v>
      </c>
    </row>
    <row r="7" spans="1:16">
      <c r="A7" s="13">
        <v>1011</v>
      </c>
      <c r="B7" s="13" t="s">
        <v>73</v>
      </c>
      <c r="C7" s="14">
        <v>0</v>
      </c>
      <c r="D7" s="15"/>
      <c r="E7" s="15">
        <v>0</v>
      </c>
      <c r="F7" s="15"/>
      <c r="G7" s="14">
        <v>0</v>
      </c>
      <c r="H7" s="16">
        <f t="shared" si="0"/>
        <v>0</v>
      </c>
      <c r="I7" s="17" t="s">
        <v>71</v>
      </c>
      <c r="J7" s="17" t="s">
        <v>71</v>
      </c>
      <c r="K7" s="18" t="s">
        <v>72</v>
      </c>
      <c r="L7" s="16">
        <f>'COST RECONCILIATION'!D7</f>
        <v>0</v>
      </c>
      <c r="M7" s="16">
        <f>'COST RECONCILIATION'!E7</f>
        <v>0</v>
      </c>
      <c r="N7" s="16">
        <f>'COST RECONCILIATION'!F7</f>
        <v>0</v>
      </c>
      <c r="O7" s="16">
        <f t="shared" si="1"/>
        <v>0</v>
      </c>
      <c r="P7" s="18" t="str">
        <f t="shared" si="2"/>
        <v>OK</v>
      </c>
    </row>
    <row r="8" spans="1:16">
      <c r="A8" s="13">
        <v>1020</v>
      </c>
      <c r="B8" s="13" t="s">
        <v>74</v>
      </c>
      <c r="C8" s="14">
        <v>0</v>
      </c>
      <c r="D8" s="15"/>
      <c r="E8" s="15">
        <v>0</v>
      </c>
      <c r="F8" s="15"/>
      <c r="G8" s="14">
        <v>0</v>
      </c>
      <c r="H8" s="16">
        <f t="shared" si="0"/>
        <v>0</v>
      </c>
      <c r="I8" s="17" t="s">
        <v>71</v>
      </c>
      <c r="J8" s="17" t="s">
        <v>71</v>
      </c>
      <c r="K8" s="18" t="s">
        <v>72</v>
      </c>
      <c r="L8" s="16">
        <f>'COST RECONCILIATION'!D8</f>
        <v>0</v>
      </c>
      <c r="M8" s="16">
        <f>'COST RECONCILIATION'!E8</f>
        <v>0</v>
      </c>
      <c r="N8" s="16">
        <f>'COST RECONCILIATION'!F8</f>
        <v>0</v>
      </c>
      <c r="O8" s="16">
        <f t="shared" si="1"/>
        <v>0</v>
      </c>
      <c r="P8" s="18" t="str">
        <f t="shared" si="2"/>
        <v>OK</v>
      </c>
    </row>
    <row r="9" spans="1:16">
      <c r="A9" s="13">
        <v>1070</v>
      </c>
      <c r="B9" s="13" t="s">
        <v>75</v>
      </c>
      <c r="C9" s="14">
        <v>0</v>
      </c>
      <c r="D9" s="15"/>
      <c r="E9" s="15">
        <v>0</v>
      </c>
      <c r="F9" s="15"/>
      <c r="G9" s="14">
        <v>0</v>
      </c>
      <c r="H9" s="16">
        <f t="shared" si="0"/>
        <v>0</v>
      </c>
      <c r="I9" s="17" t="s">
        <v>71</v>
      </c>
      <c r="J9" s="17" t="s">
        <v>71</v>
      </c>
      <c r="K9" s="18" t="s">
        <v>72</v>
      </c>
      <c r="L9" s="16">
        <f>'COST RECONCILIATION'!D9</f>
        <v>0</v>
      </c>
      <c r="M9" s="16">
        <f>'COST RECONCILIATION'!E9</f>
        <v>0</v>
      </c>
      <c r="N9" s="16">
        <f>'COST RECONCILIATION'!F9</f>
        <v>0</v>
      </c>
      <c r="O9" s="16">
        <f t="shared" si="1"/>
        <v>0</v>
      </c>
      <c r="P9" s="18" t="str">
        <f t="shared" si="2"/>
        <v>OK</v>
      </c>
    </row>
    <row r="10" spans="1:16">
      <c r="A10" s="13">
        <v>1080</v>
      </c>
      <c r="B10" s="13" t="s">
        <v>76</v>
      </c>
      <c r="C10" s="14">
        <v>0</v>
      </c>
      <c r="D10" s="15"/>
      <c r="E10" s="15">
        <v>0</v>
      </c>
      <c r="F10" s="15"/>
      <c r="G10" s="14">
        <v>0</v>
      </c>
      <c r="H10" s="16">
        <f t="shared" si="0"/>
        <v>0</v>
      </c>
      <c r="I10" s="17" t="s">
        <v>71</v>
      </c>
      <c r="J10" s="17" t="s">
        <v>71</v>
      </c>
      <c r="K10" s="18" t="s">
        <v>72</v>
      </c>
      <c r="L10" s="16">
        <f>'COST RECONCILIATION'!D10</f>
        <v>0</v>
      </c>
      <c r="M10" s="16">
        <f>'COST RECONCILIATION'!E10</f>
        <v>0</v>
      </c>
      <c r="N10" s="16">
        <f>'COST RECONCILIATION'!F10</f>
        <v>0</v>
      </c>
      <c r="O10" s="16">
        <f t="shared" si="1"/>
        <v>0</v>
      </c>
      <c r="P10" s="18" t="str">
        <f t="shared" si="2"/>
        <v>OK</v>
      </c>
    </row>
    <row r="11" spans="1:16">
      <c r="A11" s="13">
        <v>2010</v>
      </c>
      <c r="B11" s="13" t="s">
        <v>77</v>
      </c>
      <c r="C11" s="14">
        <v>0</v>
      </c>
      <c r="D11" s="15"/>
      <c r="E11" s="15">
        <v>0</v>
      </c>
      <c r="F11" s="15"/>
      <c r="G11" s="14">
        <v>0</v>
      </c>
      <c r="H11" s="16">
        <f t="shared" si="0"/>
        <v>0</v>
      </c>
      <c r="I11" s="17" t="s">
        <v>71</v>
      </c>
      <c r="J11" s="17" t="s">
        <v>71</v>
      </c>
      <c r="K11" s="18" t="s">
        <v>78</v>
      </c>
      <c r="L11" s="16">
        <f>'COST RECONCILIATION'!D11</f>
        <v>0</v>
      </c>
      <c r="M11" s="16">
        <f>'COST RECONCILIATION'!E11</f>
        <v>0</v>
      </c>
      <c r="N11" s="16">
        <f>'COST RECONCILIATION'!F11</f>
        <v>0</v>
      </c>
      <c r="O11" s="16">
        <f t="shared" si="1"/>
        <v>0</v>
      </c>
      <c r="P11" s="18" t="str">
        <f t="shared" si="2"/>
        <v>OK</v>
      </c>
    </row>
    <row r="12" spans="1:16">
      <c r="A12" s="13">
        <v>2011</v>
      </c>
      <c r="B12" s="13" t="s">
        <v>79</v>
      </c>
      <c r="C12" s="14">
        <v>0</v>
      </c>
      <c r="D12" s="15"/>
      <c r="E12" s="15">
        <v>0</v>
      </c>
      <c r="F12" s="15"/>
      <c r="G12" s="14">
        <v>0</v>
      </c>
      <c r="H12" s="16">
        <f t="shared" si="0"/>
        <v>0</v>
      </c>
      <c r="I12" s="17" t="s">
        <v>71</v>
      </c>
      <c r="J12" s="17" t="s">
        <v>71</v>
      </c>
      <c r="K12" s="18" t="s">
        <v>78</v>
      </c>
      <c r="L12" s="16">
        <f>'COST RECONCILIATION'!D12</f>
        <v>0</v>
      </c>
      <c r="M12" s="16">
        <f>'COST RECONCILIATION'!E12</f>
        <v>0</v>
      </c>
      <c r="N12" s="16">
        <f>'COST RECONCILIATION'!F12</f>
        <v>0</v>
      </c>
      <c r="O12" s="16">
        <f t="shared" si="1"/>
        <v>0</v>
      </c>
      <c r="P12" s="18" t="str">
        <f t="shared" si="2"/>
        <v>OK</v>
      </c>
    </row>
    <row r="13" spans="1:16">
      <c r="A13" s="13">
        <v>2012</v>
      </c>
      <c r="B13" s="13" t="s">
        <v>80</v>
      </c>
      <c r="C13" s="14">
        <v>0</v>
      </c>
      <c r="D13" s="15"/>
      <c r="E13" s="15">
        <v>0</v>
      </c>
      <c r="F13" s="15"/>
      <c r="G13" s="14">
        <v>0</v>
      </c>
      <c r="H13" s="16">
        <f t="shared" si="0"/>
        <v>0</v>
      </c>
      <c r="I13" s="17" t="s">
        <v>71</v>
      </c>
      <c r="J13" s="17" t="s">
        <v>71</v>
      </c>
      <c r="K13" s="18" t="s">
        <v>78</v>
      </c>
      <c r="L13" s="16">
        <f>'COST RECONCILIATION'!D13</f>
        <v>0</v>
      </c>
      <c r="M13" s="16">
        <f>'COST RECONCILIATION'!E13</f>
        <v>0</v>
      </c>
      <c r="N13" s="16">
        <f>'COST RECONCILIATION'!F13</f>
        <v>0</v>
      </c>
      <c r="O13" s="16">
        <f t="shared" si="1"/>
        <v>0</v>
      </c>
      <c r="P13" s="18" t="str">
        <f t="shared" si="2"/>
        <v>OK</v>
      </c>
    </row>
    <row r="14" spans="1:16">
      <c r="A14" s="13">
        <v>2013</v>
      </c>
      <c r="B14" s="13" t="s">
        <v>81</v>
      </c>
      <c r="C14" s="14">
        <v>0</v>
      </c>
      <c r="D14" s="15"/>
      <c r="E14" s="15">
        <v>0</v>
      </c>
      <c r="F14" s="15"/>
      <c r="G14" s="14">
        <v>0</v>
      </c>
      <c r="H14" s="16">
        <f t="shared" si="0"/>
        <v>0</v>
      </c>
      <c r="I14" s="17" t="s">
        <v>71</v>
      </c>
      <c r="J14" s="17" t="s">
        <v>71</v>
      </c>
      <c r="K14" s="18" t="s">
        <v>78</v>
      </c>
      <c r="L14" s="16">
        <f>'COST RECONCILIATION'!D14</f>
        <v>0</v>
      </c>
      <c r="M14" s="16">
        <f>'COST RECONCILIATION'!E14</f>
        <v>0</v>
      </c>
      <c r="N14" s="16">
        <f>'COST RECONCILIATION'!F14</f>
        <v>0</v>
      </c>
      <c r="O14" s="16">
        <f t="shared" si="1"/>
        <v>0</v>
      </c>
      <c r="P14" s="18" t="str">
        <f t="shared" si="2"/>
        <v>OK</v>
      </c>
    </row>
    <row r="15" spans="1:16">
      <c r="A15" s="13">
        <v>2014</v>
      </c>
      <c r="B15" s="13" t="s">
        <v>82</v>
      </c>
      <c r="C15" s="14">
        <v>0</v>
      </c>
      <c r="D15" s="15"/>
      <c r="E15" s="15">
        <v>0</v>
      </c>
      <c r="F15" s="15"/>
      <c r="G15" s="14">
        <v>0</v>
      </c>
      <c r="H15" s="16">
        <f t="shared" si="0"/>
        <v>0</v>
      </c>
      <c r="I15" s="17" t="s">
        <v>71</v>
      </c>
      <c r="J15" s="17" t="s">
        <v>71</v>
      </c>
      <c r="K15" s="18" t="s">
        <v>78</v>
      </c>
      <c r="L15" s="16">
        <f>'COST RECONCILIATION'!D15</f>
        <v>0</v>
      </c>
      <c r="M15" s="16">
        <f>'COST RECONCILIATION'!E15</f>
        <v>0</v>
      </c>
      <c r="N15" s="16">
        <f>'COST RECONCILIATION'!F15</f>
        <v>0</v>
      </c>
      <c r="O15" s="16">
        <f t="shared" si="1"/>
        <v>0</v>
      </c>
      <c r="P15" s="18" t="str">
        <f t="shared" si="2"/>
        <v>OK</v>
      </c>
    </row>
    <row r="16" spans="1:16">
      <c r="A16" s="13">
        <v>2015</v>
      </c>
      <c r="B16" s="13" t="s">
        <v>83</v>
      </c>
      <c r="C16" s="14">
        <v>0</v>
      </c>
      <c r="D16" s="15"/>
      <c r="E16" s="15">
        <v>0</v>
      </c>
      <c r="F16" s="15"/>
      <c r="G16" s="14">
        <v>0</v>
      </c>
      <c r="H16" s="16">
        <f t="shared" si="0"/>
        <v>0</v>
      </c>
      <c r="I16" s="17" t="s">
        <v>71</v>
      </c>
      <c r="J16" s="17" t="s">
        <v>71</v>
      </c>
      <c r="K16" s="18" t="s">
        <v>78</v>
      </c>
      <c r="L16" s="16">
        <f>'COST RECONCILIATION'!D16</f>
        <v>0</v>
      </c>
      <c r="M16" s="16">
        <f>'COST RECONCILIATION'!E16</f>
        <v>0</v>
      </c>
      <c r="N16" s="16">
        <f>'COST RECONCILIATION'!F16</f>
        <v>0</v>
      </c>
      <c r="O16" s="16">
        <f t="shared" si="1"/>
        <v>0</v>
      </c>
      <c r="P16" s="18" t="str">
        <f t="shared" si="2"/>
        <v>OK</v>
      </c>
    </row>
    <row r="17" spans="1:16">
      <c r="A17" s="13">
        <v>2016</v>
      </c>
      <c r="B17" s="13" t="s">
        <v>84</v>
      </c>
      <c r="C17" s="14">
        <v>0</v>
      </c>
      <c r="D17" s="15"/>
      <c r="E17" s="15">
        <v>0</v>
      </c>
      <c r="F17" s="15"/>
      <c r="G17" s="14">
        <v>0</v>
      </c>
      <c r="H17" s="16">
        <f t="shared" si="0"/>
        <v>0</v>
      </c>
      <c r="I17" s="17" t="s">
        <v>71</v>
      </c>
      <c r="J17" s="17" t="s">
        <v>71</v>
      </c>
      <c r="K17" s="18" t="s">
        <v>78</v>
      </c>
      <c r="L17" s="16">
        <f>'COST RECONCILIATION'!D17</f>
        <v>0</v>
      </c>
      <c r="M17" s="16">
        <f>'COST RECONCILIATION'!E17</f>
        <v>0</v>
      </c>
      <c r="N17" s="16">
        <f>'COST RECONCILIATION'!F17</f>
        <v>0</v>
      </c>
      <c r="O17" s="16">
        <f t="shared" si="1"/>
        <v>0</v>
      </c>
      <c r="P17" s="18" t="str">
        <f t="shared" si="2"/>
        <v>OK</v>
      </c>
    </row>
    <row r="18" spans="1:16">
      <c r="A18" s="13">
        <v>2021</v>
      </c>
      <c r="B18" s="13" t="s">
        <v>85</v>
      </c>
      <c r="C18" s="14">
        <v>0</v>
      </c>
      <c r="D18" s="15"/>
      <c r="E18" s="15">
        <v>0</v>
      </c>
      <c r="F18" s="15"/>
      <c r="G18" s="14">
        <v>0</v>
      </c>
      <c r="H18" s="16">
        <f t="shared" si="0"/>
        <v>0</v>
      </c>
      <c r="I18" s="17" t="s">
        <v>71</v>
      </c>
      <c r="J18" s="17" t="s">
        <v>71</v>
      </c>
      <c r="K18" s="18" t="s">
        <v>78</v>
      </c>
      <c r="L18" s="16">
        <f>'COST RECONCILIATION'!D18</f>
        <v>0</v>
      </c>
      <c r="M18" s="16">
        <f>'COST RECONCILIATION'!E18</f>
        <v>0</v>
      </c>
      <c r="N18" s="16">
        <f>'COST RECONCILIATION'!F18</f>
        <v>0</v>
      </c>
      <c r="O18" s="16">
        <f t="shared" si="1"/>
        <v>0</v>
      </c>
      <c r="P18" s="18" t="str">
        <f t="shared" si="2"/>
        <v>OK</v>
      </c>
    </row>
    <row r="19" spans="1:16">
      <c r="A19" s="13">
        <v>2030</v>
      </c>
      <c r="B19" s="13" t="s">
        <v>86</v>
      </c>
      <c r="C19" s="14">
        <v>0</v>
      </c>
      <c r="D19" s="15"/>
      <c r="E19" s="15">
        <v>0</v>
      </c>
      <c r="F19" s="15"/>
      <c r="G19" s="14">
        <v>0</v>
      </c>
      <c r="H19" s="16">
        <f t="shared" si="0"/>
        <v>0</v>
      </c>
      <c r="I19" s="17" t="s">
        <v>71</v>
      </c>
      <c r="J19" s="17" t="s">
        <v>71</v>
      </c>
      <c r="K19" s="18" t="s">
        <v>78</v>
      </c>
      <c r="L19" s="16">
        <f>'COST RECONCILIATION'!D19</f>
        <v>0</v>
      </c>
      <c r="M19" s="16">
        <f>'COST RECONCILIATION'!E19</f>
        <v>0</v>
      </c>
      <c r="N19" s="16">
        <f>'COST RECONCILIATION'!F19</f>
        <v>0</v>
      </c>
      <c r="O19" s="16">
        <f t="shared" si="1"/>
        <v>0</v>
      </c>
      <c r="P19" s="18" t="str">
        <f t="shared" si="2"/>
        <v>OK</v>
      </c>
    </row>
    <row r="20" spans="1:16">
      <c r="A20" s="13">
        <v>2031</v>
      </c>
      <c r="B20" s="13" t="s">
        <v>87</v>
      </c>
      <c r="C20" s="14">
        <v>0</v>
      </c>
      <c r="D20" s="15"/>
      <c r="E20" s="15">
        <v>0</v>
      </c>
      <c r="F20" s="15"/>
      <c r="G20" s="14">
        <v>0</v>
      </c>
      <c r="H20" s="16">
        <f t="shared" si="0"/>
        <v>0</v>
      </c>
      <c r="I20" s="17" t="s">
        <v>71</v>
      </c>
      <c r="J20" s="17" t="s">
        <v>71</v>
      </c>
      <c r="K20" s="18" t="s">
        <v>78</v>
      </c>
      <c r="L20" s="16">
        <f>'COST RECONCILIATION'!D20</f>
        <v>0</v>
      </c>
      <c r="M20" s="16">
        <f>'COST RECONCILIATION'!E20</f>
        <v>0</v>
      </c>
      <c r="N20" s="16">
        <f>'COST RECONCILIATION'!F20</f>
        <v>0</v>
      </c>
      <c r="O20" s="16">
        <f t="shared" si="1"/>
        <v>0</v>
      </c>
      <c r="P20" s="18" t="str">
        <f t="shared" si="2"/>
        <v>OK</v>
      </c>
    </row>
    <row r="21" spans="1:16">
      <c r="A21" s="13">
        <v>3005</v>
      </c>
      <c r="B21" s="13" t="s">
        <v>88</v>
      </c>
      <c r="C21" s="14">
        <v>0</v>
      </c>
      <c r="D21" s="15"/>
      <c r="E21" s="15">
        <v>0</v>
      </c>
      <c r="F21" s="15"/>
      <c r="G21" s="14">
        <v>0</v>
      </c>
      <c r="H21" s="16">
        <f t="shared" si="0"/>
        <v>0</v>
      </c>
      <c r="I21" s="17" t="s">
        <v>71</v>
      </c>
      <c r="J21" s="17" t="s">
        <v>71</v>
      </c>
      <c r="K21" s="18" t="s">
        <v>89</v>
      </c>
      <c r="L21" s="16">
        <f>'COST RECONCILIATION'!D21</f>
        <v>0</v>
      </c>
      <c r="M21" s="16">
        <f>'COST RECONCILIATION'!E21</f>
        <v>0</v>
      </c>
      <c r="N21" s="16">
        <f>'COST RECONCILIATION'!F21</f>
        <v>0</v>
      </c>
      <c r="O21" s="16">
        <f t="shared" si="1"/>
        <v>0</v>
      </c>
      <c r="P21" s="18" t="str">
        <f t="shared" si="2"/>
        <v>OK</v>
      </c>
    </row>
    <row r="22" spans="1:16">
      <c r="A22" s="13">
        <v>3010</v>
      </c>
      <c r="B22" s="13" t="s">
        <v>90</v>
      </c>
      <c r="C22" s="14">
        <v>0</v>
      </c>
      <c r="D22" s="15"/>
      <c r="E22" s="15">
        <v>0</v>
      </c>
      <c r="F22" s="15"/>
      <c r="G22" s="14">
        <v>0</v>
      </c>
      <c r="H22" s="16">
        <f t="shared" si="0"/>
        <v>0</v>
      </c>
      <c r="I22" s="17" t="s">
        <v>71</v>
      </c>
      <c r="J22" s="17" t="s">
        <v>71</v>
      </c>
      <c r="K22" s="18" t="s">
        <v>89</v>
      </c>
      <c r="L22" s="16">
        <f>'COST RECONCILIATION'!D22</f>
        <v>0</v>
      </c>
      <c r="M22" s="16">
        <f>'COST RECONCILIATION'!E22</f>
        <v>0</v>
      </c>
      <c r="N22" s="16">
        <f>'COST RECONCILIATION'!F22</f>
        <v>0</v>
      </c>
      <c r="O22" s="16">
        <f t="shared" si="1"/>
        <v>0</v>
      </c>
      <c r="P22" s="18" t="str">
        <f t="shared" si="2"/>
        <v>OK</v>
      </c>
    </row>
    <row r="23" spans="1:16">
      <c r="A23" s="13">
        <v>3011</v>
      </c>
      <c r="B23" s="13" t="s">
        <v>91</v>
      </c>
      <c r="C23" s="14">
        <v>0</v>
      </c>
      <c r="D23" s="15"/>
      <c r="E23" s="15">
        <v>0</v>
      </c>
      <c r="F23" s="15"/>
      <c r="G23" s="14">
        <v>0</v>
      </c>
      <c r="H23" s="16">
        <f t="shared" si="0"/>
        <v>0</v>
      </c>
      <c r="I23" s="17" t="s">
        <v>71</v>
      </c>
      <c r="J23" s="17" t="s">
        <v>71</v>
      </c>
      <c r="K23" s="18" t="s">
        <v>89</v>
      </c>
      <c r="L23" s="16">
        <f>'COST RECONCILIATION'!D23</f>
        <v>0</v>
      </c>
      <c r="M23" s="16">
        <f>'COST RECONCILIATION'!E23</f>
        <v>0</v>
      </c>
      <c r="N23" s="16">
        <f>'COST RECONCILIATION'!F23</f>
        <v>0</v>
      </c>
      <c r="O23" s="16">
        <f t="shared" si="1"/>
        <v>0</v>
      </c>
      <c r="P23" s="18" t="str">
        <f t="shared" si="2"/>
        <v>OK</v>
      </c>
    </row>
    <row r="24" spans="1:16">
      <c r="A24" s="13">
        <v>3020</v>
      </c>
      <c r="B24" s="13" t="s">
        <v>92</v>
      </c>
      <c r="C24" s="14">
        <v>0</v>
      </c>
      <c r="D24" s="15"/>
      <c r="E24" s="15">
        <v>0</v>
      </c>
      <c r="F24" s="15"/>
      <c r="G24" s="14">
        <v>0</v>
      </c>
      <c r="H24" s="16">
        <f t="shared" si="0"/>
        <v>0</v>
      </c>
      <c r="I24" s="17" t="s">
        <v>71</v>
      </c>
      <c r="J24" s="17" t="s">
        <v>71</v>
      </c>
      <c r="K24" s="18" t="s">
        <v>89</v>
      </c>
      <c r="L24" s="16">
        <f>'COST RECONCILIATION'!D24</f>
        <v>0</v>
      </c>
      <c r="M24" s="16">
        <f>'COST RECONCILIATION'!E24</f>
        <v>0</v>
      </c>
      <c r="N24" s="16">
        <f>'COST RECONCILIATION'!F24</f>
        <v>0</v>
      </c>
      <c r="O24" s="16">
        <f t="shared" si="1"/>
        <v>0</v>
      </c>
      <c r="P24" s="18" t="str">
        <f t="shared" si="2"/>
        <v>OK</v>
      </c>
    </row>
    <row r="25" spans="1:16">
      <c r="A25" s="13">
        <v>3021</v>
      </c>
      <c r="B25" s="13" t="s">
        <v>93</v>
      </c>
      <c r="C25" s="14">
        <v>0</v>
      </c>
      <c r="D25" s="15"/>
      <c r="E25" s="15">
        <v>0</v>
      </c>
      <c r="F25" s="15"/>
      <c r="G25" s="14">
        <v>0</v>
      </c>
      <c r="H25" s="16">
        <f t="shared" si="0"/>
        <v>0</v>
      </c>
      <c r="I25" s="17" t="s">
        <v>71</v>
      </c>
      <c r="J25" s="17" t="s">
        <v>71</v>
      </c>
      <c r="K25" s="18" t="s">
        <v>89</v>
      </c>
      <c r="L25" s="16">
        <f>'COST RECONCILIATION'!D25</f>
        <v>0</v>
      </c>
      <c r="M25" s="16">
        <f>'COST RECONCILIATION'!E25</f>
        <v>0</v>
      </c>
      <c r="N25" s="16">
        <f>'COST RECONCILIATION'!F25</f>
        <v>0</v>
      </c>
      <c r="O25" s="16">
        <f t="shared" si="1"/>
        <v>0</v>
      </c>
      <c r="P25" s="18" t="str">
        <f t="shared" si="2"/>
        <v>OK</v>
      </c>
    </row>
    <row r="26" spans="1:16">
      <c r="A26" s="13">
        <v>3031</v>
      </c>
      <c r="B26" s="13" t="s">
        <v>94</v>
      </c>
      <c r="C26" s="14">
        <v>0</v>
      </c>
      <c r="D26" s="15"/>
      <c r="E26" s="15">
        <v>0</v>
      </c>
      <c r="F26" s="15"/>
      <c r="G26" s="14">
        <v>0</v>
      </c>
      <c r="H26" s="16">
        <f t="shared" si="0"/>
        <v>0</v>
      </c>
      <c r="I26" s="17" t="s">
        <v>71</v>
      </c>
      <c r="J26" s="17" t="s">
        <v>71</v>
      </c>
      <c r="K26" s="18" t="s">
        <v>89</v>
      </c>
      <c r="L26" s="16">
        <f>'COST RECONCILIATION'!D26</f>
        <v>0</v>
      </c>
      <c r="M26" s="16">
        <f>'COST RECONCILIATION'!E26</f>
        <v>0</v>
      </c>
      <c r="N26" s="16">
        <f>'COST RECONCILIATION'!F26</f>
        <v>0</v>
      </c>
      <c r="O26" s="16">
        <f t="shared" si="1"/>
        <v>0</v>
      </c>
      <c r="P26" s="18" t="str">
        <f t="shared" si="2"/>
        <v>OK</v>
      </c>
    </row>
    <row r="27" spans="1:16">
      <c r="A27" s="13">
        <v>3050</v>
      </c>
      <c r="B27" s="13" t="s">
        <v>95</v>
      </c>
      <c r="C27" s="14">
        <v>0</v>
      </c>
      <c r="D27" s="15"/>
      <c r="E27" s="15">
        <v>0</v>
      </c>
      <c r="F27" s="15"/>
      <c r="G27" s="14">
        <v>0</v>
      </c>
      <c r="H27" s="16">
        <f t="shared" si="0"/>
        <v>0</v>
      </c>
      <c r="I27" s="17" t="s">
        <v>71</v>
      </c>
      <c r="J27" s="17" t="s">
        <v>71</v>
      </c>
      <c r="K27" s="18" t="s">
        <v>89</v>
      </c>
      <c r="L27" s="16">
        <f>'COST RECONCILIATION'!D27</f>
        <v>0</v>
      </c>
      <c r="M27" s="16">
        <f>'COST RECONCILIATION'!E27</f>
        <v>0</v>
      </c>
      <c r="N27" s="16">
        <f>'COST RECONCILIATION'!F27</f>
        <v>0</v>
      </c>
      <c r="O27" s="16">
        <f t="shared" si="1"/>
        <v>0</v>
      </c>
      <c r="P27" s="18" t="str">
        <f t="shared" si="2"/>
        <v>OK</v>
      </c>
    </row>
    <row r="28" spans="1:16">
      <c r="A28" s="13">
        <v>3051</v>
      </c>
      <c r="B28" s="13" t="s">
        <v>96</v>
      </c>
      <c r="C28" s="14">
        <v>0</v>
      </c>
      <c r="D28" s="15"/>
      <c r="E28" s="15">
        <v>0</v>
      </c>
      <c r="F28" s="15"/>
      <c r="G28" s="14">
        <v>0</v>
      </c>
      <c r="H28" s="16">
        <f t="shared" si="0"/>
        <v>0</v>
      </c>
      <c r="I28" s="17" t="s">
        <v>71</v>
      </c>
      <c r="J28" s="17" t="s">
        <v>71</v>
      </c>
      <c r="K28" s="18" t="s">
        <v>89</v>
      </c>
      <c r="L28" s="16">
        <f>'COST RECONCILIATION'!D28</f>
        <v>0</v>
      </c>
      <c r="M28" s="16">
        <f>'COST RECONCILIATION'!E28</f>
        <v>0</v>
      </c>
      <c r="N28" s="16">
        <f>'COST RECONCILIATION'!F28</f>
        <v>0</v>
      </c>
      <c r="O28" s="16">
        <f t="shared" si="1"/>
        <v>0</v>
      </c>
      <c r="P28" s="18" t="str">
        <f t="shared" si="2"/>
        <v>OK</v>
      </c>
    </row>
    <row r="29" spans="1:16">
      <c r="A29" s="13">
        <v>3070</v>
      </c>
      <c r="B29" s="13" t="s">
        <v>97</v>
      </c>
      <c r="C29" s="14">
        <v>0</v>
      </c>
      <c r="D29" s="15"/>
      <c r="E29" s="15">
        <v>0</v>
      </c>
      <c r="F29" s="15"/>
      <c r="G29" s="14">
        <v>0</v>
      </c>
      <c r="H29" s="16">
        <f t="shared" si="0"/>
        <v>0</v>
      </c>
      <c r="I29" s="17" t="s">
        <v>71</v>
      </c>
      <c r="J29" s="17" t="s">
        <v>71</v>
      </c>
      <c r="K29" s="18" t="s">
        <v>89</v>
      </c>
      <c r="L29" s="16">
        <f>'COST RECONCILIATION'!D29</f>
        <v>0</v>
      </c>
      <c r="M29" s="16">
        <f>'COST RECONCILIATION'!E29</f>
        <v>0</v>
      </c>
      <c r="N29" s="16">
        <f>'COST RECONCILIATION'!F29</f>
        <v>0</v>
      </c>
      <c r="O29" s="16">
        <f t="shared" si="1"/>
        <v>0</v>
      </c>
      <c r="P29" s="18" t="str">
        <f t="shared" si="2"/>
        <v>OK</v>
      </c>
    </row>
    <row r="30" spans="1:16">
      <c r="A30" s="13">
        <v>3080</v>
      </c>
      <c r="B30" s="13" t="s">
        <v>98</v>
      </c>
      <c r="C30" s="14">
        <v>0</v>
      </c>
      <c r="D30" s="15"/>
      <c r="E30" s="15">
        <v>0</v>
      </c>
      <c r="F30" s="15"/>
      <c r="G30" s="14">
        <v>0</v>
      </c>
      <c r="H30" s="16">
        <f t="shared" si="0"/>
        <v>0</v>
      </c>
      <c r="I30" s="17" t="s">
        <v>71</v>
      </c>
      <c r="J30" s="17" t="s">
        <v>71</v>
      </c>
      <c r="K30" s="18" t="s">
        <v>89</v>
      </c>
      <c r="L30" s="16">
        <f>'COST RECONCILIATION'!D30</f>
        <v>0</v>
      </c>
      <c r="M30" s="16">
        <f>'COST RECONCILIATION'!E30</f>
        <v>0</v>
      </c>
      <c r="N30" s="16">
        <f>'COST RECONCILIATION'!F30</f>
        <v>0</v>
      </c>
      <c r="O30" s="16">
        <f t="shared" si="1"/>
        <v>0</v>
      </c>
      <c r="P30" s="18" t="str">
        <f t="shared" si="2"/>
        <v>OK</v>
      </c>
    </row>
    <row r="31" spans="1:16">
      <c r="A31" s="13">
        <v>3090</v>
      </c>
      <c r="B31" s="13" t="s">
        <v>99</v>
      </c>
      <c r="C31" s="14">
        <v>0</v>
      </c>
      <c r="D31" s="15"/>
      <c r="E31" s="15">
        <v>0</v>
      </c>
      <c r="F31" s="15"/>
      <c r="G31" s="14">
        <v>0</v>
      </c>
      <c r="H31" s="16">
        <f t="shared" si="0"/>
        <v>0</v>
      </c>
      <c r="I31" s="17" t="s">
        <v>71</v>
      </c>
      <c r="J31" s="17" t="s">
        <v>71</v>
      </c>
      <c r="K31" s="18" t="s">
        <v>89</v>
      </c>
      <c r="L31" s="16">
        <f>'COST RECONCILIATION'!D31</f>
        <v>0</v>
      </c>
      <c r="M31" s="16">
        <f>'COST RECONCILIATION'!E31</f>
        <v>0</v>
      </c>
      <c r="N31" s="16">
        <f>'COST RECONCILIATION'!F31</f>
        <v>0</v>
      </c>
      <c r="O31" s="16">
        <f t="shared" si="1"/>
        <v>0</v>
      </c>
      <c r="P31" s="18" t="str">
        <f t="shared" si="2"/>
        <v>OK</v>
      </c>
    </row>
    <row r="32" spans="1:16">
      <c r="A32" s="13">
        <v>3095</v>
      </c>
      <c r="B32" s="13" t="s">
        <v>100</v>
      </c>
      <c r="C32" s="14">
        <v>0</v>
      </c>
      <c r="D32" s="15"/>
      <c r="E32" s="15">
        <v>0</v>
      </c>
      <c r="F32" s="15"/>
      <c r="G32" s="14">
        <v>0</v>
      </c>
      <c r="H32" s="16">
        <f t="shared" si="0"/>
        <v>0</v>
      </c>
      <c r="I32" s="17" t="s">
        <v>71</v>
      </c>
      <c r="J32" s="17" t="s">
        <v>71</v>
      </c>
      <c r="K32" s="18" t="s">
        <v>89</v>
      </c>
      <c r="L32" s="16">
        <f>'COST RECONCILIATION'!D32</f>
        <v>0</v>
      </c>
      <c r="M32" s="16">
        <f>'COST RECONCILIATION'!E32</f>
        <v>0</v>
      </c>
      <c r="N32" s="16">
        <f>'COST RECONCILIATION'!F32</f>
        <v>0</v>
      </c>
      <c r="O32" s="16">
        <f t="shared" si="1"/>
        <v>0</v>
      </c>
      <c r="P32" s="18" t="str">
        <f t="shared" si="2"/>
        <v>OK</v>
      </c>
    </row>
    <row r="33" spans="1:16">
      <c r="A33" s="13">
        <v>3096</v>
      </c>
      <c r="B33" s="13" t="s">
        <v>101</v>
      </c>
      <c r="C33" s="14">
        <v>0</v>
      </c>
      <c r="D33" s="15"/>
      <c r="E33" s="15">
        <v>0</v>
      </c>
      <c r="F33" s="15"/>
      <c r="G33" s="14">
        <v>0</v>
      </c>
      <c r="H33" s="16">
        <f t="shared" si="0"/>
        <v>0</v>
      </c>
      <c r="I33" s="17" t="s">
        <v>71</v>
      </c>
      <c r="J33" s="17" t="s">
        <v>71</v>
      </c>
      <c r="K33" s="18" t="s">
        <v>89</v>
      </c>
      <c r="L33" s="16">
        <f>'COST RECONCILIATION'!D33</f>
        <v>0</v>
      </c>
      <c r="M33" s="16">
        <f>'COST RECONCILIATION'!E33</f>
        <v>0</v>
      </c>
      <c r="N33" s="16">
        <f>'COST RECONCILIATION'!F33</f>
        <v>0</v>
      </c>
      <c r="O33" s="16">
        <f t="shared" si="1"/>
        <v>0</v>
      </c>
      <c r="P33" s="18" t="str">
        <f t="shared" si="2"/>
        <v>OK</v>
      </c>
    </row>
    <row r="34" spans="1:16">
      <c r="A34" s="13">
        <v>4010</v>
      </c>
      <c r="B34" s="13" t="s">
        <v>102</v>
      </c>
      <c r="C34" s="14">
        <v>0</v>
      </c>
      <c r="D34" s="15"/>
      <c r="E34" s="15">
        <v>0</v>
      </c>
      <c r="F34" s="15"/>
      <c r="G34" s="14">
        <v>0</v>
      </c>
      <c r="H34" s="16">
        <f t="shared" si="0"/>
        <v>0</v>
      </c>
      <c r="I34" s="17" t="s">
        <v>71</v>
      </c>
      <c r="J34" s="17" t="s">
        <v>71</v>
      </c>
      <c r="K34" s="18" t="s">
        <v>103</v>
      </c>
      <c r="L34" s="16">
        <f>'COST RECONCILIATION'!D34</f>
        <v>0</v>
      </c>
      <c r="M34" s="16">
        <f>'COST RECONCILIATION'!E34</f>
        <v>0</v>
      </c>
      <c r="N34" s="16">
        <f>'COST RECONCILIATION'!F34</f>
        <v>0</v>
      </c>
      <c r="O34" s="16">
        <f t="shared" si="1"/>
        <v>0</v>
      </c>
      <c r="P34" s="18" t="str">
        <f t="shared" si="2"/>
        <v>OK</v>
      </c>
    </row>
    <row r="35" spans="1:16">
      <c r="A35" s="13">
        <v>4011</v>
      </c>
      <c r="B35" s="13" t="s">
        <v>104</v>
      </c>
      <c r="C35" s="14">
        <v>0</v>
      </c>
      <c r="D35" s="15"/>
      <c r="E35" s="15">
        <v>0</v>
      </c>
      <c r="F35" s="15"/>
      <c r="G35" s="14">
        <v>0</v>
      </c>
      <c r="H35" s="16">
        <f t="shared" si="0"/>
        <v>0</v>
      </c>
      <c r="I35" s="17" t="s">
        <v>71</v>
      </c>
      <c r="J35" s="17" t="s">
        <v>71</v>
      </c>
      <c r="K35" s="18" t="s">
        <v>103</v>
      </c>
      <c r="L35" s="16">
        <f>'COST RECONCILIATION'!D35</f>
        <v>0</v>
      </c>
      <c r="M35" s="16">
        <f>'COST RECONCILIATION'!E35</f>
        <v>0</v>
      </c>
      <c r="N35" s="16">
        <f>'COST RECONCILIATION'!F35</f>
        <v>0</v>
      </c>
      <c r="O35" s="16">
        <f t="shared" si="1"/>
        <v>0</v>
      </c>
      <c r="P35" s="18" t="str">
        <f t="shared" si="2"/>
        <v>OK</v>
      </c>
    </row>
    <row r="36" spans="1:16">
      <c r="A36" s="13">
        <v>4020</v>
      </c>
      <c r="B36" s="13" t="s">
        <v>105</v>
      </c>
      <c r="C36" s="14">
        <v>0</v>
      </c>
      <c r="D36" s="15"/>
      <c r="E36" s="15">
        <v>0</v>
      </c>
      <c r="F36" s="15"/>
      <c r="G36" s="14">
        <v>0</v>
      </c>
      <c r="H36" s="16">
        <f t="shared" si="0"/>
        <v>0</v>
      </c>
      <c r="I36" s="17" t="s">
        <v>71</v>
      </c>
      <c r="J36" s="17" t="s">
        <v>71</v>
      </c>
      <c r="K36" s="18" t="s">
        <v>103</v>
      </c>
      <c r="L36" s="16">
        <f>'COST RECONCILIATION'!D36</f>
        <v>0</v>
      </c>
      <c r="M36" s="16">
        <f>'COST RECONCILIATION'!E36</f>
        <v>0</v>
      </c>
      <c r="N36" s="16">
        <f>'COST RECONCILIATION'!F36</f>
        <v>0</v>
      </c>
      <c r="O36" s="16">
        <f t="shared" si="1"/>
        <v>0</v>
      </c>
      <c r="P36" s="18" t="str">
        <f t="shared" si="2"/>
        <v>OK</v>
      </c>
    </row>
    <row r="37" spans="1:16">
      <c r="A37" s="13">
        <v>4021</v>
      </c>
      <c r="B37" s="13" t="s">
        <v>106</v>
      </c>
      <c r="C37" s="14">
        <v>0</v>
      </c>
      <c r="D37" s="15"/>
      <c r="E37" s="15">
        <v>0</v>
      </c>
      <c r="F37" s="15"/>
      <c r="G37" s="14">
        <v>0</v>
      </c>
      <c r="H37" s="16">
        <f t="shared" si="0"/>
        <v>0</v>
      </c>
      <c r="I37" s="17" t="s">
        <v>71</v>
      </c>
      <c r="J37" s="17" t="s">
        <v>71</v>
      </c>
      <c r="K37" s="18" t="s">
        <v>103</v>
      </c>
      <c r="L37" s="16">
        <f>'COST RECONCILIATION'!D37</f>
        <v>0</v>
      </c>
      <c r="M37" s="16">
        <f>'COST RECONCILIATION'!E37</f>
        <v>0</v>
      </c>
      <c r="N37" s="16">
        <f>'COST RECONCILIATION'!F37</f>
        <v>0</v>
      </c>
      <c r="O37" s="16">
        <f t="shared" si="1"/>
        <v>0</v>
      </c>
      <c r="P37" s="18" t="str">
        <f t="shared" si="2"/>
        <v>OK</v>
      </c>
    </row>
    <row r="38" spans="1:16">
      <c r="A38" s="13">
        <v>4030</v>
      </c>
      <c r="B38" s="13" t="s">
        <v>107</v>
      </c>
      <c r="C38" s="14">
        <v>0</v>
      </c>
      <c r="D38" s="15"/>
      <c r="E38" s="15">
        <v>0</v>
      </c>
      <c r="F38" s="15"/>
      <c r="G38" s="14">
        <v>0</v>
      </c>
      <c r="H38" s="16">
        <f t="shared" ref="H38:H69" si="3">C38+E38-G38</f>
        <v>0</v>
      </c>
      <c r="I38" s="17" t="s">
        <v>71</v>
      </c>
      <c r="J38" s="17" t="s">
        <v>71</v>
      </c>
      <c r="K38" s="18" t="s">
        <v>103</v>
      </c>
      <c r="L38" s="16">
        <f>'COST RECONCILIATION'!D38</f>
        <v>0</v>
      </c>
      <c r="M38" s="16">
        <f>'COST RECONCILIATION'!E38</f>
        <v>0</v>
      </c>
      <c r="N38" s="16">
        <f>'COST RECONCILIATION'!F38</f>
        <v>0</v>
      </c>
      <c r="O38" s="16">
        <f t="shared" ref="O38:O69" si="4">L38-H38</f>
        <v>0</v>
      </c>
      <c r="P38" s="18" t="str">
        <f t="shared" ref="P38:P69" si="5">IF(J38="No","EXCLUDED",IF(L38&gt;H38,"OVER BUDGET","OK"))</f>
        <v>OK</v>
      </c>
    </row>
    <row r="39" spans="1:16">
      <c r="A39" s="13">
        <v>4031</v>
      </c>
      <c r="B39" s="13" t="s">
        <v>108</v>
      </c>
      <c r="C39" s="14">
        <v>0</v>
      </c>
      <c r="D39" s="15"/>
      <c r="E39" s="15">
        <v>0</v>
      </c>
      <c r="F39" s="15"/>
      <c r="G39" s="14">
        <v>0</v>
      </c>
      <c r="H39" s="16">
        <f t="shared" si="3"/>
        <v>0</v>
      </c>
      <c r="I39" s="17" t="s">
        <v>71</v>
      </c>
      <c r="J39" s="17" t="s">
        <v>71</v>
      </c>
      <c r="K39" s="18" t="s">
        <v>103</v>
      </c>
      <c r="L39" s="16">
        <f>'COST RECONCILIATION'!D39</f>
        <v>0</v>
      </c>
      <c r="M39" s="16">
        <f>'COST RECONCILIATION'!E39</f>
        <v>0</v>
      </c>
      <c r="N39" s="16">
        <f>'COST RECONCILIATION'!F39</f>
        <v>0</v>
      </c>
      <c r="O39" s="16">
        <f t="shared" si="4"/>
        <v>0</v>
      </c>
      <c r="P39" s="18" t="str">
        <f t="shared" si="5"/>
        <v>OK</v>
      </c>
    </row>
    <row r="40" spans="1:16">
      <c r="A40" s="13">
        <v>4032</v>
      </c>
      <c r="B40" s="13" t="s">
        <v>109</v>
      </c>
      <c r="C40" s="14">
        <v>0</v>
      </c>
      <c r="D40" s="15"/>
      <c r="E40" s="15">
        <v>0</v>
      </c>
      <c r="F40" s="15"/>
      <c r="G40" s="14">
        <v>0</v>
      </c>
      <c r="H40" s="16">
        <f t="shared" si="3"/>
        <v>0</v>
      </c>
      <c r="I40" s="17" t="s">
        <v>71</v>
      </c>
      <c r="J40" s="17" t="s">
        <v>71</v>
      </c>
      <c r="K40" s="18" t="s">
        <v>103</v>
      </c>
      <c r="L40" s="16">
        <f>'COST RECONCILIATION'!D40</f>
        <v>0</v>
      </c>
      <c r="M40" s="16">
        <f>'COST RECONCILIATION'!E40</f>
        <v>0</v>
      </c>
      <c r="N40" s="16">
        <f>'COST RECONCILIATION'!F40</f>
        <v>0</v>
      </c>
      <c r="O40" s="16">
        <f t="shared" si="4"/>
        <v>0</v>
      </c>
      <c r="P40" s="18" t="str">
        <f t="shared" si="5"/>
        <v>OK</v>
      </c>
    </row>
    <row r="41" spans="1:16">
      <c r="A41" s="13">
        <v>4040</v>
      </c>
      <c r="B41" s="13" t="s">
        <v>110</v>
      </c>
      <c r="C41" s="14">
        <v>0</v>
      </c>
      <c r="D41" s="15"/>
      <c r="E41" s="15">
        <v>0</v>
      </c>
      <c r="F41" s="15"/>
      <c r="G41" s="14">
        <v>0</v>
      </c>
      <c r="H41" s="16">
        <f t="shared" si="3"/>
        <v>0</v>
      </c>
      <c r="I41" s="17" t="s">
        <v>71</v>
      </c>
      <c r="J41" s="17" t="s">
        <v>71</v>
      </c>
      <c r="K41" s="18" t="s">
        <v>103</v>
      </c>
      <c r="L41" s="16">
        <f>'COST RECONCILIATION'!D41</f>
        <v>0</v>
      </c>
      <c r="M41" s="16">
        <f>'COST RECONCILIATION'!E41</f>
        <v>0</v>
      </c>
      <c r="N41" s="16">
        <f>'COST RECONCILIATION'!F41</f>
        <v>0</v>
      </c>
      <c r="O41" s="16">
        <f t="shared" si="4"/>
        <v>0</v>
      </c>
      <c r="P41" s="18" t="str">
        <f t="shared" si="5"/>
        <v>OK</v>
      </c>
    </row>
    <row r="42" spans="1:16">
      <c r="A42" s="13">
        <v>4041</v>
      </c>
      <c r="B42" s="13" t="s">
        <v>111</v>
      </c>
      <c r="C42" s="14">
        <v>0</v>
      </c>
      <c r="D42" s="15"/>
      <c r="E42" s="15">
        <v>0</v>
      </c>
      <c r="F42" s="15"/>
      <c r="G42" s="14">
        <v>0</v>
      </c>
      <c r="H42" s="16">
        <f t="shared" si="3"/>
        <v>0</v>
      </c>
      <c r="I42" s="17" t="s">
        <v>71</v>
      </c>
      <c r="J42" s="17" t="s">
        <v>71</v>
      </c>
      <c r="K42" s="18" t="s">
        <v>103</v>
      </c>
      <c r="L42" s="16">
        <f>'COST RECONCILIATION'!D42</f>
        <v>0</v>
      </c>
      <c r="M42" s="16">
        <f>'COST RECONCILIATION'!E42</f>
        <v>0</v>
      </c>
      <c r="N42" s="16">
        <f>'COST RECONCILIATION'!F42</f>
        <v>0</v>
      </c>
      <c r="O42" s="16">
        <f t="shared" si="4"/>
        <v>0</v>
      </c>
      <c r="P42" s="18" t="str">
        <f t="shared" si="5"/>
        <v>OK</v>
      </c>
    </row>
    <row r="43" spans="1:16">
      <c r="A43" s="13">
        <v>4050</v>
      </c>
      <c r="B43" s="13" t="s">
        <v>112</v>
      </c>
      <c r="C43" s="14">
        <v>0</v>
      </c>
      <c r="D43" s="15"/>
      <c r="E43" s="15">
        <v>0</v>
      </c>
      <c r="F43" s="15"/>
      <c r="G43" s="14">
        <v>0</v>
      </c>
      <c r="H43" s="16">
        <f t="shared" si="3"/>
        <v>0</v>
      </c>
      <c r="I43" s="17" t="s">
        <v>71</v>
      </c>
      <c r="J43" s="17" t="s">
        <v>71</v>
      </c>
      <c r="K43" s="18" t="s">
        <v>103</v>
      </c>
      <c r="L43" s="16">
        <f>'COST RECONCILIATION'!D43</f>
        <v>0</v>
      </c>
      <c r="M43" s="16">
        <f>'COST RECONCILIATION'!E43</f>
        <v>0</v>
      </c>
      <c r="N43" s="16">
        <f>'COST RECONCILIATION'!F43</f>
        <v>0</v>
      </c>
      <c r="O43" s="16">
        <f t="shared" si="4"/>
        <v>0</v>
      </c>
      <c r="P43" s="18" t="str">
        <f t="shared" si="5"/>
        <v>OK</v>
      </c>
    </row>
    <row r="44" spans="1:16">
      <c r="A44" s="13">
        <v>4051</v>
      </c>
      <c r="B44" s="13" t="s">
        <v>113</v>
      </c>
      <c r="C44" s="14">
        <v>0</v>
      </c>
      <c r="D44" s="15"/>
      <c r="E44" s="15">
        <v>0</v>
      </c>
      <c r="F44" s="15"/>
      <c r="G44" s="14">
        <v>0</v>
      </c>
      <c r="H44" s="16">
        <f t="shared" si="3"/>
        <v>0</v>
      </c>
      <c r="I44" s="17" t="s">
        <v>71</v>
      </c>
      <c r="J44" s="17" t="s">
        <v>71</v>
      </c>
      <c r="K44" s="18" t="s">
        <v>103</v>
      </c>
      <c r="L44" s="16">
        <f>'COST RECONCILIATION'!D44</f>
        <v>0</v>
      </c>
      <c r="M44" s="16">
        <f>'COST RECONCILIATION'!E44</f>
        <v>0</v>
      </c>
      <c r="N44" s="16">
        <f>'COST RECONCILIATION'!F44</f>
        <v>0</v>
      </c>
      <c r="O44" s="16">
        <f t="shared" si="4"/>
        <v>0</v>
      </c>
      <c r="P44" s="18" t="str">
        <f t="shared" si="5"/>
        <v>OK</v>
      </c>
    </row>
    <row r="45" spans="1:16">
      <c r="A45" s="13">
        <v>4060</v>
      </c>
      <c r="B45" s="13" t="s">
        <v>114</v>
      </c>
      <c r="C45" s="14">
        <v>0</v>
      </c>
      <c r="D45" s="15"/>
      <c r="E45" s="15">
        <v>0</v>
      </c>
      <c r="F45" s="15"/>
      <c r="G45" s="14">
        <v>0</v>
      </c>
      <c r="H45" s="16">
        <f t="shared" si="3"/>
        <v>0</v>
      </c>
      <c r="I45" s="17" t="s">
        <v>71</v>
      </c>
      <c r="J45" s="17" t="s">
        <v>71</v>
      </c>
      <c r="K45" s="18" t="s">
        <v>103</v>
      </c>
      <c r="L45" s="16">
        <f>'COST RECONCILIATION'!D45</f>
        <v>0</v>
      </c>
      <c r="M45" s="16">
        <f>'COST RECONCILIATION'!E45</f>
        <v>0</v>
      </c>
      <c r="N45" s="16">
        <f>'COST RECONCILIATION'!F45</f>
        <v>0</v>
      </c>
      <c r="O45" s="16">
        <f t="shared" si="4"/>
        <v>0</v>
      </c>
      <c r="P45" s="18" t="str">
        <f t="shared" si="5"/>
        <v>OK</v>
      </c>
    </row>
    <row r="46" spans="1:16">
      <c r="A46" s="13">
        <v>4061</v>
      </c>
      <c r="B46" s="13" t="s">
        <v>115</v>
      </c>
      <c r="C46" s="14">
        <v>0</v>
      </c>
      <c r="D46" s="15"/>
      <c r="E46" s="15">
        <v>0</v>
      </c>
      <c r="F46" s="15"/>
      <c r="G46" s="14">
        <v>0</v>
      </c>
      <c r="H46" s="16">
        <f t="shared" si="3"/>
        <v>0</v>
      </c>
      <c r="I46" s="17" t="s">
        <v>71</v>
      </c>
      <c r="J46" s="17" t="s">
        <v>71</v>
      </c>
      <c r="K46" s="18" t="s">
        <v>103</v>
      </c>
      <c r="L46" s="16">
        <f>'COST RECONCILIATION'!D46</f>
        <v>0</v>
      </c>
      <c r="M46" s="16">
        <f>'COST RECONCILIATION'!E46</f>
        <v>0</v>
      </c>
      <c r="N46" s="16">
        <f>'COST RECONCILIATION'!F46</f>
        <v>0</v>
      </c>
      <c r="O46" s="16">
        <f t="shared" si="4"/>
        <v>0</v>
      </c>
      <c r="P46" s="18" t="str">
        <f t="shared" si="5"/>
        <v>OK</v>
      </c>
    </row>
    <row r="47" spans="1:16">
      <c r="A47" s="13">
        <v>4070</v>
      </c>
      <c r="B47" s="13" t="s">
        <v>116</v>
      </c>
      <c r="C47" s="14">
        <v>0</v>
      </c>
      <c r="D47" s="15"/>
      <c r="E47" s="15">
        <v>0</v>
      </c>
      <c r="F47" s="15"/>
      <c r="G47" s="14">
        <v>0</v>
      </c>
      <c r="H47" s="16">
        <f t="shared" si="3"/>
        <v>0</v>
      </c>
      <c r="I47" s="17" t="s">
        <v>71</v>
      </c>
      <c r="J47" s="17" t="s">
        <v>71</v>
      </c>
      <c r="K47" s="18" t="s">
        <v>103</v>
      </c>
      <c r="L47" s="16">
        <f>'COST RECONCILIATION'!D47</f>
        <v>0</v>
      </c>
      <c r="M47" s="16">
        <f>'COST RECONCILIATION'!E47</f>
        <v>0</v>
      </c>
      <c r="N47" s="16">
        <f>'COST RECONCILIATION'!F47</f>
        <v>0</v>
      </c>
      <c r="O47" s="16">
        <f t="shared" si="4"/>
        <v>0</v>
      </c>
      <c r="P47" s="18" t="str">
        <f t="shared" si="5"/>
        <v>OK</v>
      </c>
    </row>
    <row r="48" spans="1:16">
      <c r="A48" s="13">
        <v>4071</v>
      </c>
      <c r="B48" s="13" t="s">
        <v>117</v>
      </c>
      <c r="C48" s="14">
        <v>0</v>
      </c>
      <c r="D48" s="15"/>
      <c r="E48" s="15">
        <v>0</v>
      </c>
      <c r="F48" s="15"/>
      <c r="G48" s="14">
        <v>0</v>
      </c>
      <c r="H48" s="16">
        <f t="shared" si="3"/>
        <v>0</v>
      </c>
      <c r="I48" s="17" t="s">
        <v>71</v>
      </c>
      <c r="J48" s="17" t="s">
        <v>71</v>
      </c>
      <c r="K48" s="18" t="s">
        <v>103</v>
      </c>
      <c r="L48" s="16">
        <f>'COST RECONCILIATION'!D48</f>
        <v>0</v>
      </c>
      <c r="M48" s="16">
        <f>'COST RECONCILIATION'!E48</f>
        <v>0</v>
      </c>
      <c r="N48" s="16">
        <f>'COST RECONCILIATION'!F48</f>
        <v>0</v>
      </c>
      <c r="O48" s="16">
        <f t="shared" si="4"/>
        <v>0</v>
      </c>
      <c r="P48" s="18" t="str">
        <f t="shared" si="5"/>
        <v>OK</v>
      </c>
    </row>
    <row r="49" spans="1:16">
      <c r="A49" s="13">
        <v>4080</v>
      </c>
      <c r="B49" s="13" t="s">
        <v>118</v>
      </c>
      <c r="C49" s="14">
        <v>0</v>
      </c>
      <c r="D49" s="15"/>
      <c r="E49" s="15">
        <v>0</v>
      </c>
      <c r="F49" s="15"/>
      <c r="G49" s="14">
        <v>0</v>
      </c>
      <c r="H49" s="16">
        <f t="shared" si="3"/>
        <v>0</v>
      </c>
      <c r="I49" s="17" t="s">
        <v>71</v>
      </c>
      <c r="J49" s="17" t="s">
        <v>71</v>
      </c>
      <c r="K49" s="18" t="s">
        <v>103</v>
      </c>
      <c r="L49" s="16">
        <f>'COST RECONCILIATION'!D49</f>
        <v>0</v>
      </c>
      <c r="M49" s="16">
        <f>'COST RECONCILIATION'!E49</f>
        <v>0</v>
      </c>
      <c r="N49" s="16">
        <f>'COST RECONCILIATION'!F49</f>
        <v>0</v>
      </c>
      <c r="O49" s="16">
        <f t="shared" si="4"/>
        <v>0</v>
      </c>
      <c r="P49" s="18" t="str">
        <f t="shared" si="5"/>
        <v>OK</v>
      </c>
    </row>
    <row r="50" spans="1:16">
      <c r="A50" s="13">
        <v>4082</v>
      </c>
      <c r="B50" s="13" t="s">
        <v>119</v>
      </c>
      <c r="C50" s="14">
        <v>0</v>
      </c>
      <c r="D50" s="15"/>
      <c r="E50" s="15">
        <v>0</v>
      </c>
      <c r="F50" s="15"/>
      <c r="G50" s="14">
        <v>0</v>
      </c>
      <c r="H50" s="16">
        <f t="shared" si="3"/>
        <v>0</v>
      </c>
      <c r="I50" s="17" t="s">
        <v>71</v>
      </c>
      <c r="J50" s="17" t="s">
        <v>71</v>
      </c>
      <c r="K50" s="18" t="s">
        <v>103</v>
      </c>
      <c r="L50" s="16">
        <f>'COST RECONCILIATION'!D50</f>
        <v>0</v>
      </c>
      <c r="M50" s="16">
        <f>'COST RECONCILIATION'!E50</f>
        <v>0</v>
      </c>
      <c r="N50" s="16">
        <f>'COST RECONCILIATION'!F50</f>
        <v>0</v>
      </c>
      <c r="O50" s="16">
        <f t="shared" si="4"/>
        <v>0</v>
      </c>
      <c r="P50" s="18" t="str">
        <f t="shared" si="5"/>
        <v>OK</v>
      </c>
    </row>
    <row r="51" spans="1:16">
      <c r="A51" s="13">
        <v>4085</v>
      </c>
      <c r="B51" s="13" t="s">
        <v>120</v>
      </c>
      <c r="C51" s="14">
        <v>0</v>
      </c>
      <c r="D51" s="15"/>
      <c r="E51" s="15">
        <v>0</v>
      </c>
      <c r="F51" s="15"/>
      <c r="G51" s="14">
        <v>0</v>
      </c>
      <c r="H51" s="16">
        <f t="shared" si="3"/>
        <v>0</v>
      </c>
      <c r="I51" s="17" t="s">
        <v>71</v>
      </c>
      <c r="J51" s="17" t="s">
        <v>71</v>
      </c>
      <c r="K51" s="18" t="s">
        <v>103</v>
      </c>
      <c r="L51" s="16">
        <f>'COST RECONCILIATION'!D51</f>
        <v>0</v>
      </c>
      <c r="M51" s="16">
        <f>'COST RECONCILIATION'!E51</f>
        <v>0</v>
      </c>
      <c r="N51" s="16">
        <f>'COST RECONCILIATION'!F51</f>
        <v>0</v>
      </c>
      <c r="O51" s="16">
        <f t="shared" si="4"/>
        <v>0</v>
      </c>
      <c r="P51" s="18" t="str">
        <f t="shared" si="5"/>
        <v>OK</v>
      </c>
    </row>
    <row r="52" spans="1:16">
      <c r="A52" s="13">
        <v>4086</v>
      </c>
      <c r="B52" s="13" t="s">
        <v>121</v>
      </c>
      <c r="C52" s="14">
        <v>0</v>
      </c>
      <c r="D52" s="15"/>
      <c r="E52" s="15">
        <v>0</v>
      </c>
      <c r="F52" s="15"/>
      <c r="G52" s="14">
        <v>0</v>
      </c>
      <c r="H52" s="16">
        <f t="shared" si="3"/>
        <v>0</v>
      </c>
      <c r="I52" s="17" t="s">
        <v>71</v>
      </c>
      <c r="J52" s="17" t="s">
        <v>71</v>
      </c>
      <c r="K52" s="18" t="s">
        <v>103</v>
      </c>
      <c r="L52" s="16">
        <f>'COST RECONCILIATION'!D52</f>
        <v>0</v>
      </c>
      <c r="M52" s="16">
        <f>'COST RECONCILIATION'!E52</f>
        <v>0</v>
      </c>
      <c r="N52" s="16">
        <f>'COST RECONCILIATION'!F52</f>
        <v>0</v>
      </c>
      <c r="O52" s="16">
        <f t="shared" si="4"/>
        <v>0</v>
      </c>
      <c r="P52" s="18" t="str">
        <f t="shared" si="5"/>
        <v>OK</v>
      </c>
    </row>
    <row r="53" spans="1:16">
      <c r="A53" s="13">
        <v>4090</v>
      </c>
      <c r="B53" s="13" t="s">
        <v>122</v>
      </c>
      <c r="C53" s="14">
        <v>0</v>
      </c>
      <c r="D53" s="15"/>
      <c r="E53" s="15">
        <v>0</v>
      </c>
      <c r="F53" s="15"/>
      <c r="G53" s="14">
        <v>0</v>
      </c>
      <c r="H53" s="16">
        <f t="shared" si="3"/>
        <v>0</v>
      </c>
      <c r="I53" s="17" t="s">
        <v>71</v>
      </c>
      <c r="J53" s="17" t="s">
        <v>71</v>
      </c>
      <c r="K53" s="18" t="s">
        <v>103</v>
      </c>
      <c r="L53" s="16">
        <f>'COST RECONCILIATION'!D53</f>
        <v>0</v>
      </c>
      <c r="M53" s="16">
        <f>'COST RECONCILIATION'!E53</f>
        <v>0</v>
      </c>
      <c r="N53" s="16">
        <f>'COST RECONCILIATION'!F53</f>
        <v>0</v>
      </c>
      <c r="O53" s="16">
        <f t="shared" si="4"/>
        <v>0</v>
      </c>
      <c r="P53" s="18" t="str">
        <f t="shared" si="5"/>
        <v>OK</v>
      </c>
    </row>
    <row r="54" spans="1:16">
      <c r="A54" s="13">
        <v>4100</v>
      </c>
      <c r="B54" s="13" t="s">
        <v>123</v>
      </c>
      <c r="C54" s="14">
        <v>0</v>
      </c>
      <c r="D54" s="15"/>
      <c r="E54" s="15">
        <v>0</v>
      </c>
      <c r="F54" s="15"/>
      <c r="G54" s="14">
        <v>0</v>
      </c>
      <c r="H54" s="16">
        <f t="shared" si="3"/>
        <v>0</v>
      </c>
      <c r="I54" s="17" t="s">
        <v>71</v>
      </c>
      <c r="J54" s="17" t="s">
        <v>71</v>
      </c>
      <c r="K54" s="18" t="s">
        <v>103</v>
      </c>
      <c r="L54" s="16">
        <f>'COST RECONCILIATION'!D54</f>
        <v>0</v>
      </c>
      <c r="M54" s="16">
        <f>'COST RECONCILIATION'!E54</f>
        <v>0</v>
      </c>
      <c r="N54" s="16">
        <f>'COST RECONCILIATION'!F54</f>
        <v>0</v>
      </c>
      <c r="O54" s="16">
        <f t="shared" si="4"/>
        <v>0</v>
      </c>
      <c r="P54" s="18" t="str">
        <f t="shared" si="5"/>
        <v>OK</v>
      </c>
    </row>
    <row r="55" spans="1:16">
      <c r="A55" s="13">
        <v>4110</v>
      </c>
      <c r="B55" s="13" t="s">
        <v>124</v>
      </c>
      <c r="C55" s="14">
        <v>0</v>
      </c>
      <c r="D55" s="15"/>
      <c r="E55" s="15">
        <v>0</v>
      </c>
      <c r="F55" s="15"/>
      <c r="G55" s="14">
        <v>0</v>
      </c>
      <c r="H55" s="16">
        <f t="shared" si="3"/>
        <v>0</v>
      </c>
      <c r="I55" s="17" t="s">
        <v>71</v>
      </c>
      <c r="J55" s="17" t="s">
        <v>71</v>
      </c>
      <c r="K55" s="18" t="s">
        <v>103</v>
      </c>
      <c r="L55" s="16">
        <f>'COST RECONCILIATION'!D55</f>
        <v>0</v>
      </c>
      <c r="M55" s="16">
        <f>'COST RECONCILIATION'!E55</f>
        <v>0</v>
      </c>
      <c r="N55" s="16">
        <f>'COST RECONCILIATION'!F55</f>
        <v>0</v>
      </c>
      <c r="O55" s="16">
        <f t="shared" si="4"/>
        <v>0</v>
      </c>
      <c r="P55" s="18" t="str">
        <f t="shared" si="5"/>
        <v>OK</v>
      </c>
    </row>
    <row r="56" spans="1:16">
      <c r="A56" s="13">
        <v>4120</v>
      </c>
      <c r="B56" s="13" t="s">
        <v>125</v>
      </c>
      <c r="C56" s="14">
        <v>0</v>
      </c>
      <c r="D56" s="15"/>
      <c r="E56" s="15">
        <v>0</v>
      </c>
      <c r="F56" s="15"/>
      <c r="G56" s="14">
        <v>0</v>
      </c>
      <c r="H56" s="16">
        <f t="shared" si="3"/>
        <v>0</v>
      </c>
      <c r="I56" s="17" t="s">
        <v>71</v>
      </c>
      <c r="J56" s="17" t="s">
        <v>71</v>
      </c>
      <c r="K56" s="18" t="s">
        <v>103</v>
      </c>
      <c r="L56" s="16">
        <f>'COST RECONCILIATION'!D56</f>
        <v>0</v>
      </c>
      <c r="M56" s="16">
        <f>'COST RECONCILIATION'!E56</f>
        <v>0</v>
      </c>
      <c r="N56" s="16">
        <f>'COST RECONCILIATION'!F56</f>
        <v>0</v>
      </c>
      <c r="O56" s="16">
        <f t="shared" si="4"/>
        <v>0</v>
      </c>
      <c r="P56" s="18" t="str">
        <f t="shared" si="5"/>
        <v>OK</v>
      </c>
    </row>
    <row r="57" spans="1:16">
      <c r="A57" s="13">
        <v>4121</v>
      </c>
      <c r="B57" s="13" t="s">
        <v>126</v>
      </c>
      <c r="C57" s="14">
        <v>0</v>
      </c>
      <c r="D57" s="15"/>
      <c r="E57" s="15">
        <v>0</v>
      </c>
      <c r="F57" s="15"/>
      <c r="G57" s="14">
        <v>0</v>
      </c>
      <c r="H57" s="16">
        <f t="shared" si="3"/>
        <v>0</v>
      </c>
      <c r="I57" s="17" t="s">
        <v>71</v>
      </c>
      <c r="J57" s="17" t="s">
        <v>71</v>
      </c>
      <c r="K57" s="18" t="s">
        <v>103</v>
      </c>
      <c r="L57" s="16">
        <f>'COST RECONCILIATION'!D57</f>
        <v>0</v>
      </c>
      <c r="M57" s="16">
        <f>'COST RECONCILIATION'!E57</f>
        <v>0</v>
      </c>
      <c r="N57" s="16">
        <f>'COST RECONCILIATION'!F57</f>
        <v>0</v>
      </c>
      <c r="O57" s="16">
        <f t="shared" si="4"/>
        <v>0</v>
      </c>
      <c r="P57" s="18" t="str">
        <f t="shared" si="5"/>
        <v>OK</v>
      </c>
    </row>
    <row r="58" spans="1:16">
      <c r="A58" s="13">
        <v>4130</v>
      </c>
      <c r="B58" s="13" t="s">
        <v>127</v>
      </c>
      <c r="C58" s="14">
        <v>0</v>
      </c>
      <c r="D58" s="15"/>
      <c r="E58" s="15">
        <v>0</v>
      </c>
      <c r="F58" s="15"/>
      <c r="G58" s="14">
        <v>0</v>
      </c>
      <c r="H58" s="16">
        <f t="shared" si="3"/>
        <v>0</v>
      </c>
      <c r="I58" s="17" t="s">
        <v>71</v>
      </c>
      <c r="J58" s="17" t="s">
        <v>71</v>
      </c>
      <c r="K58" s="18" t="s">
        <v>103</v>
      </c>
      <c r="L58" s="16">
        <f>'COST RECONCILIATION'!D58</f>
        <v>0</v>
      </c>
      <c r="M58" s="16">
        <f>'COST RECONCILIATION'!E58</f>
        <v>0</v>
      </c>
      <c r="N58" s="16">
        <f>'COST RECONCILIATION'!F58</f>
        <v>0</v>
      </c>
      <c r="O58" s="16">
        <f t="shared" si="4"/>
        <v>0</v>
      </c>
      <c r="P58" s="18" t="str">
        <f t="shared" si="5"/>
        <v>OK</v>
      </c>
    </row>
    <row r="59" spans="1:16">
      <c r="A59" s="13">
        <v>4131</v>
      </c>
      <c r="B59" s="13" t="s">
        <v>128</v>
      </c>
      <c r="C59" s="14">
        <v>0</v>
      </c>
      <c r="D59" s="15"/>
      <c r="E59" s="15">
        <v>0</v>
      </c>
      <c r="F59" s="15"/>
      <c r="G59" s="14">
        <v>0</v>
      </c>
      <c r="H59" s="16">
        <f t="shared" si="3"/>
        <v>0</v>
      </c>
      <c r="I59" s="17" t="s">
        <v>71</v>
      </c>
      <c r="J59" s="17" t="s">
        <v>71</v>
      </c>
      <c r="K59" s="18" t="s">
        <v>103</v>
      </c>
      <c r="L59" s="16">
        <f>'COST RECONCILIATION'!D59</f>
        <v>0</v>
      </c>
      <c r="M59" s="16">
        <f>'COST RECONCILIATION'!E59</f>
        <v>0</v>
      </c>
      <c r="N59" s="16">
        <f>'COST RECONCILIATION'!F59</f>
        <v>0</v>
      </c>
      <c r="O59" s="16">
        <f t="shared" si="4"/>
        <v>0</v>
      </c>
      <c r="P59" s="18" t="str">
        <f t="shared" si="5"/>
        <v>OK</v>
      </c>
    </row>
    <row r="60" spans="1:16">
      <c r="A60" s="13">
        <v>4140</v>
      </c>
      <c r="B60" s="13" t="s">
        <v>129</v>
      </c>
      <c r="C60" s="14">
        <v>0</v>
      </c>
      <c r="D60" s="15"/>
      <c r="E60" s="15">
        <v>0</v>
      </c>
      <c r="F60" s="15"/>
      <c r="G60" s="14">
        <v>0</v>
      </c>
      <c r="H60" s="16">
        <f t="shared" si="3"/>
        <v>0</v>
      </c>
      <c r="I60" s="17" t="s">
        <v>71</v>
      </c>
      <c r="J60" s="17" t="s">
        <v>71</v>
      </c>
      <c r="K60" s="18" t="s">
        <v>103</v>
      </c>
      <c r="L60" s="16">
        <f>'COST RECONCILIATION'!D60</f>
        <v>0</v>
      </c>
      <c r="M60" s="16">
        <f>'COST RECONCILIATION'!E60</f>
        <v>0</v>
      </c>
      <c r="N60" s="16">
        <f>'COST RECONCILIATION'!F60</f>
        <v>0</v>
      </c>
      <c r="O60" s="16">
        <f t="shared" si="4"/>
        <v>0</v>
      </c>
      <c r="P60" s="18" t="str">
        <f t="shared" si="5"/>
        <v>OK</v>
      </c>
    </row>
    <row r="61" spans="1:16">
      <c r="A61" s="13">
        <v>4141</v>
      </c>
      <c r="B61" s="13" t="s">
        <v>130</v>
      </c>
      <c r="C61" s="14">
        <v>0</v>
      </c>
      <c r="D61" s="15"/>
      <c r="E61" s="15">
        <v>0</v>
      </c>
      <c r="F61" s="15"/>
      <c r="G61" s="14">
        <v>0</v>
      </c>
      <c r="H61" s="16">
        <f t="shared" si="3"/>
        <v>0</v>
      </c>
      <c r="I61" s="17" t="s">
        <v>71</v>
      </c>
      <c r="J61" s="17" t="s">
        <v>71</v>
      </c>
      <c r="K61" s="18" t="s">
        <v>103</v>
      </c>
      <c r="L61" s="16">
        <f>'COST RECONCILIATION'!D61</f>
        <v>0</v>
      </c>
      <c r="M61" s="16">
        <f>'COST RECONCILIATION'!E61</f>
        <v>0</v>
      </c>
      <c r="N61" s="16">
        <f>'COST RECONCILIATION'!F61</f>
        <v>0</v>
      </c>
      <c r="O61" s="16">
        <f t="shared" si="4"/>
        <v>0</v>
      </c>
      <c r="P61" s="18" t="str">
        <f t="shared" si="5"/>
        <v>OK</v>
      </c>
    </row>
    <row r="62" spans="1:16">
      <c r="A62" s="13">
        <v>4145</v>
      </c>
      <c r="B62" s="13" t="s">
        <v>131</v>
      </c>
      <c r="C62" s="14">
        <v>0</v>
      </c>
      <c r="D62" s="15"/>
      <c r="E62" s="15">
        <v>0</v>
      </c>
      <c r="F62" s="15"/>
      <c r="G62" s="14">
        <v>0</v>
      </c>
      <c r="H62" s="16">
        <f t="shared" si="3"/>
        <v>0</v>
      </c>
      <c r="I62" s="17" t="s">
        <v>71</v>
      </c>
      <c r="J62" s="17" t="s">
        <v>71</v>
      </c>
      <c r="K62" s="18" t="s">
        <v>103</v>
      </c>
      <c r="L62" s="16">
        <f>'COST RECONCILIATION'!D62</f>
        <v>0</v>
      </c>
      <c r="M62" s="16">
        <f>'COST RECONCILIATION'!E62</f>
        <v>0</v>
      </c>
      <c r="N62" s="16">
        <f>'COST RECONCILIATION'!F62</f>
        <v>0</v>
      </c>
      <c r="O62" s="16">
        <f t="shared" si="4"/>
        <v>0</v>
      </c>
      <c r="P62" s="18" t="str">
        <f t="shared" si="5"/>
        <v>OK</v>
      </c>
    </row>
    <row r="63" spans="1:16">
      <c r="A63" s="13">
        <v>4150</v>
      </c>
      <c r="B63" s="13" t="s">
        <v>132</v>
      </c>
      <c r="C63" s="14">
        <v>0</v>
      </c>
      <c r="D63" s="15"/>
      <c r="E63" s="15">
        <v>0</v>
      </c>
      <c r="F63" s="15"/>
      <c r="G63" s="14">
        <v>0</v>
      </c>
      <c r="H63" s="16">
        <f t="shared" si="3"/>
        <v>0</v>
      </c>
      <c r="I63" s="17" t="s">
        <v>71</v>
      </c>
      <c r="J63" s="17" t="s">
        <v>71</v>
      </c>
      <c r="K63" s="18" t="s">
        <v>103</v>
      </c>
      <c r="L63" s="16">
        <f>'COST RECONCILIATION'!D63</f>
        <v>0</v>
      </c>
      <c r="M63" s="16">
        <f>'COST RECONCILIATION'!E63</f>
        <v>0</v>
      </c>
      <c r="N63" s="16">
        <f>'COST RECONCILIATION'!F63</f>
        <v>0</v>
      </c>
      <c r="O63" s="16">
        <f t="shared" si="4"/>
        <v>0</v>
      </c>
      <c r="P63" s="18" t="str">
        <f t="shared" si="5"/>
        <v>OK</v>
      </c>
    </row>
    <row r="64" spans="1:16">
      <c r="A64" s="13">
        <v>4151</v>
      </c>
      <c r="B64" s="13" t="s">
        <v>133</v>
      </c>
      <c r="C64" s="14">
        <v>0</v>
      </c>
      <c r="D64" s="15"/>
      <c r="E64" s="15">
        <v>0</v>
      </c>
      <c r="F64" s="15"/>
      <c r="G64" s="14">
        <v>0</v>
      </c>
      <c r="H64" s="16">
        <f t="shared" si="3"/>
        <v>0</v>
      </c>
      <c r="I64" s="17" t="s">
        <v>71</v>
      </c>
      <c r="J64" s="17" t="s">
        <v>71</v>
      </c>
      <c r="K64" s="18" t="s">
        <v>103</v>
      </c>
      <c r="L64" s="16">
        <f>'COST RECONCILIATION'!D64</f>
        <v>0</v>
      </c>
      <c r="M64" s="16">
        <f>'COST RECONCILIATION'!E64</f>
        <v>0</v>
      </c>
      <c r="N64" s="16">
        <f>'COST RECONCILIATION'!F64</f>
        <v>0</v>
      </c>
      <c r="O64" s="16">
        <f t="shared" si="4"/>
        <v>0</v>
      </c>
      <c r="P64" s="18" t="str">
        <f t="shared" si="5"/>
        <v>OK</v>
      </c>
    </row>
    <row r="65" spans="1:16">
      <c r="A65" s="13">
        <v>4170</v>
      </c>
      <c r="B65" s="13" t="s">
        <v>134</v>
      </c>
      <c r="C65" s="14">
        <v>0</v>
      </c>
      <c r="D65" s="15"/>
      <c r="E65" s="15">
        <v>0</v>
      </c>
      <c r="F65" s="15"/>
      <c r="G65" s="14">
        <v>0</v>
      </c>
      <c r="H65" s="16">
        <f t="shared" si="3"/>
        <v>0</v>
      </c>
      <c r="I65" s="17" t="s">
        <v>71</v>
      </c>
      <c r="J65" s="17" t="s">
        <v>71</v>
      </c>
      <c r="K65" s="18" t="s">
        <v>103</v>
      </c>
      <c r="L65" s="16">
        <f>'COST RECONCILIATION'!D65</f>
        <v>0</v>
      </c>
      <c r="M65" s="16">
        <f>'COST RECONCILIATION'!E65</f>
        <v>0</v>
      </c>
      <c r="N65" s="16">
        <f>'COST RECONCILIATION'!F65</f>
        <v>0</v>
      </c>
      <c r="O65" s="16">
        <f t="shared" si="4"/>
        <v>0</v>
      </c>
      <c r="P65" s="18" t="str">
        <f t="shared" si="5"/>
        <v>OK</v>
      </c>
    </row>
    <row r="66" spans="1:16">
      <c r="A66" s="13">
        <v>4180</v>
      </c>
      <c r="B66" s="13" t="s">
        <v>135</v>
      </c>
      <c r="C66" s="14">
        <v>0</v>
      </c>
      <c r="D66" s="15"/>
      <c r="E66" s="15">
        <v>0</v>
      </c>
      <c r="F66" s="15"/>
      <c r="G66" s="14">
        <v>0</v>
      </c>
      <c r="H66" s="16">
        <f t="shared" si="3"/>
        <v>0</v>
      </c>
      <c r="I66" s="17" t="s">
        <v>71</v>
      </c>
      <c r="J66" s="17" t="s">
        <v>71</v>
      </c>
      <c r="K66" s="18" t="s">
        <v>103</v>
      </c>
      <c r="L66" s="16">
        <f>'COST RECONCILIATION'!D66</f>
        <v>0</v>
      </c>
      <c r="M66" s="16">
        <f>'COST RECONCILIATION'!E66</f>
        <v>0</v>
      </c>
      <c r="N66" s="16">
        <f>'COST RECONCILIATION'!F66</f>
        <v>0</v>
      </c>
      <c r="O66" s="16">
        <f t="shared" si="4"/>
        <v>0</v>
      </c>
      <c r="P66" s="18" t="str">
        <f t="shared" si="5"/>
        <v>OK</v>
      </c>
    </row>
    <row r="67" spans="1:16">
      <c r="A67" s="13">
        <v>4190</v>
      </c>
      <c r="B67" s="13" t="s">
        <v>136</v>
      </c>
      <c r="C67" s="14">
        <v>0</v>
      </c>
      <c r="D67" s="15"/>
      <c r="E67" s="15">
        <v>0</v>
      </c>
      <c r="F67" s="15"/>
      <c r="G67" s="14">
        <v>0</v>
      </c>
      <c r="H67" s="16">
        <f t="shared" si="3"/>
        <v>0</v>
      </c>
      <c r="I67" s="17" t="s">
        <v>71</v>
      </c>
      <c r="J67" s="17" t="s">
        <v>71</v>
      </c>
      <c r="K67" s="18" t="s">
        <v>103</v>
      </c>
      <c r="L67" s="16">
        <f>'COST RECONCILIATION'!D67</f>
        <v>0</v>
      </c>
      <c r="M67" s="16">
        <f>'COST RECONCILIATION'!E67</f>
        <v>0</v>
      </c>
      <c r="N67" s="16">
        <f>'COST RECONCILIATION'!F67</f>
        <v>0</v>
      </c>
      <c r="O67" s="16">
        <f t="shared" si="4"/>
        <v>0</v>
      </c>
      <c r="P67" s="18" t="str">
        <f t="shared" si="5"/>
        <v>OK</v>
      </c>
    </row>
    <row r="68" spans="1:16">
      <c r="A68" s="13">
        <v>4200</v>
      </c>
      <c r="B68" s="13" t="s">
        <v>137</v>
      </c>
      <c r="C68" s="14">
        <v>0</v>
      </c>
      <c r="D68" s="15"/>
      <c r="E68" s="15">
        <v>0</v>
      </c>
      <c r="F68" s="15"/>
      <c r="G68" s="14">
        <v>0</v>
      </c>
      <c r="H68" s="16">
        <f t="shared" si="3"/>
        <v>0</v>
      </c>
      <c r="I68" s="17" t="s">
        <v>71</v>
      </c>
      <c r="J68" s="17" t="s">
        <v>71</v>
      </c>
      <c r="K68" s="18" t="s">
        <v>103</v>
      </c>
      <c r="L68" s="16">
        <f>'COST RECONCILIATION'!D68</f>
        <v>0</v>
      </c>
      <c r="M68" s="16">
        <f>'COST RECONCILIATION'!E68</f>
        <v>0</v>
      </c>
      <c r="N68" s="16">
        <f>'COST RECONCILIATION'!F68</f>
        <v>0</v>
      </c>
      <c r="O68" s="16">
        <f t="shared" si="4"/>
        <v>0</v>
      </c>
      <c r="P68" s="18" t="str">
        <f t="shared" si="5"/>
        <v>OK</v>
      </c>
    </row>
    <row r="69" spans="1:16">
      <c r="A69" s="13">
        <v>5010</v>
      </c>
      <c r="B69" s="13" t="s">
        <v>138</v>
      </c>
      <c r="C69" s="14">
        <v>0</v>
      </c>
      <c r="D69" s="15"/>
      <c r="E69" s="15">
        <v>0</v>
      </c>
      <c r="F69" s="15"/>
      <c r="G69" s="14">
        <v>0</v>
      </c>
      <c r="H69" s="16">
        <f t="shared" si="3"/>
        <v>0</v>
      </c>
      <c r="I69" s="17" t="s">
        <v>71</v>
      </c>
      <c r="J69" s="17" t="s">
        <v>71</v>
      </c>
      <c r="K69" s="18" t="s">
        <v>139</v>
      </c>
      <c r="L69" s="16">
        <f>'COST RECONCILIATION'!D69</f>
        <v>0</v>
      </c>
      <c r="M69" s="16">
        <f>'COST RECONCILIATION'!E69</f>
        <v>0</v>
      </c>
      <c r="N69" s="16">
        <f>'COST RECONCILIATION'!F69</f>
        <v>0</v>
      </c>
      <c r="O69" s="16">
        <f t="shared" si="4"/>
        <v>0</v>
      </c>
      <c r="P69" s="18" t="str">
        <f t="shared" si="5"/>
        <v>OK</v>
      </c>
    </row>
    <row r="70" spans="1:16">
      <c r="A70" s="13">
        <v>5011</v>
      </c>
      <c r="B70" s="13" t="s">
        <v>140</v>
      </c>
      <c r="C70" s="14">
        <v>0</v>
      </c>
      <c r="D70" s="15"/>
      <c r="E70" s="15">
        <v>0</v>
      </c>
      <c r="F70" s="15"/>
      <c r="G70" s="14">
        <v>0</v>
      </c>
      <c r="H70" s="16">
        <f t="shared" ref="H70:H101" si="6">C70+E70-G70</f>
        <v>0</v>
      </c>
      <c r="I70" s="17" t="s">
        <v>71</v>
      </c>
      <c r="J70" s="17" t="s">
        <v>71</v>
      </c>
      <c r="K70" s="18" t="s">
        <v>139</v>
      </c>
      <c r="L70" s="16">
        <f>'COST RECONCILIATION'!D70</f>
        <v>0</v>
      </c>
      <c r="M70" s="16">
        <f>'COST RECONCILIATION'!E70</f>
        <v>0</v>
      </c>
      <c r="N70" s="16">
        <f>'COST RECONCILIATION'!F70</f>
        <v>0</v>
      </c>
      <c r="O70" s="16">
        <f t="shared" ref="O70:O101" si="7">L70-H70</f>
        <v>0</v>
      </c>
      <c r="P70" s="18" t="str">
        <f t="shared" ref="P70:P101" si="8">IF(J70="No","EXCLUDED",IF(L70&gt;H70,"OVER BUDGET","OK"))</f>
        <v>OK</v>
      </c>
    </row>
    <row r="71" spans="1:16">
      <c r="A71" s="13">
        <v>5020</v>
      </c>
      <c r="B71" s="13" t="s">
        <v>141</v>
      </c>
      <c r="C71" s="14">
        <v>0</v>
      </c>
      <c r="D71" s="15"/>
      <c r="E71" s="15">
        <v>0</v>
      </c>
      <c r="F71" s="15"/>
      <c r="G71" s="14">
        <v>0</v>
      </c>
      <c r="H71" s="16">
        <f t="shared" si="6"/>
        <v>0</v>
      </c>
      <c r="I71" s="17" t="s">
        <v>71</v>
      </c>
      <c r="J71" s="17" t="s">
        <v>71</v>
      </c>
      <c r="K71" s="18" t="s">
        <v>139</v>
      </c>
      <c r="L71" s="16">
        <f>'COST RECONCILIATION'!D71</f>
        <v>0</v>
      </c>
      <c r="M71" s="16">
        <f>'COST RECONCILIATION'!E71</f>
        <v>0</v>
      </c>
      <c r="N71" s="16">
        <f>'COST RECONCILIATION'!F71</f>
        <v>0</v>
      </c>
      <c r="O71" s="16">
        <f t="shared" si="7"/>
        <v>0</v>
      </c>
      <c r="P71" s="18" t="str">
        <f t="shared" si="8"/>
        <v>OK</v>
      </c>
    </row>
    <row r="72" spans="1:16">
      <c r="A72" s="13">
        <v>5030</v>
      </c>
      <c r="B72" s="13" t="s">
        <v>142</v>
      </c>
      <c r="C72" s="14">
        <v>0</v>
      </c>
      <c r="D72" s="15"/>
      <c r="E72" s="15">
        <v>0</v>
      </c>
      <c r="F72" s="15"/>
      <c r="G72" s="14">
        <v>0</v>
      </c>
      <c r="H72" s="16">
        <f t="shared" si="6"/>
        <v>0</v>
      </c>
      <c r="I72" s="17" t="s">
        <v>71</v>
      </c>
      <c r="J72" s="17" t="s">
        <v>71</v>
      </c>
      <c r="K72" s="18" t="s">
        <v>139</v>
      </c>
      <c r="L72" s="16">
        <f>'COST RECONCILIATION'!D72</f>
        <v>0</v>
      </c>
      <c r="M72" s="16">
        <f>'COST RECONCILIATION'!E72</f>
        <v>0</v>
      </c>
      <c r="N72" s="16">
        <f>'COST RECONCILIATION'!F72</f>
        <v>0</v>
      </c>
      <c r="O72" s="16">
        <f t="shared" si="7"/>
        <v>0</v>
      </c>
      <c r="P72" s="18" t="str">
        <f t="shared" si="8"/>
        <v>OK</v>
      </c>
    </row>
    <row r="73" spans="1:16">
      <c r="A73" s="13">
        <v>5031</v>
      </c>
      <c r="B73" s="13" t="s">
        <v>143</v>
      </c>
      <c r="C73" s="14">
        <v>0</v>
      </c>
      <c r="D73" s="15"/>
      <c r="E73" s="15">
        <v>0</v>
      </c>
      <c r="F73" s="15"/>
      <c r="G73" s="14">
        <v>0</v>
      </c>
      <c r="H73" s="16">
        <f t="shared" si="6"/>
        <v>0</v>
      </c>
      <c r="I73" s="17" t="s">
        <v>71</v>
      </c>
      <c r="J73" s="17" t="s">
        <v>71</v>
      </c>
      <c r="K73" s="18" t="s">
        <v>139</v>
      </c>
      <c r="L73" s="16">
        <f>'COST RECONCILIATION'!D73</f>
        <v>0</v>
      </c>
      <c r="M73" s="16">
        <f>'COST RECONCILIATION'!E73</f>
        <v>0</v>
      </c>
      <c r="N73" s="16">
        <f>'COST RECONCILIATION'!F73</f>
        <v>0</v>
      </c>
      <c r="O73" s="16">
        <f t="shared" si="7"/>
        <v>0</v>
      </c>
      <c r="P73" s="18" t="str">
        <f t="shared" si="8"/>
        <v>OK</v>
      </c>
    </row>
    <row r="74" spans="1:16">
      <c r="A74" s="13">
        <v>5035</v>
      </c>
      <c r="B74" s="13" t="s">
        <v>144</v>
      </c>
      <c r="C74" s="14">
        <v>0</v>
      </c>
      <c r="D74" s="15"/>
      <c r="E74" s="15">
        <v>0</v>
      </c>
      <c r="F74" s="15"/>
      <c r="G74" s="14">
        <v>0</v>
      </c>
      <c r="H74" s="16">
        <f t="shared" si="6"/>
        <v>0</v>
      </c>
      <c r="I74" s="17" t="s">
        <v>71</v>
      </c>
      <c r="J74" s="17" t="s">
        <v>71</v>
      </c>
      <c r="K74" s="18" t="s">
        <v>139</v>
      </c>
      <c r="L74" s="16">
        <f>'COST RECONCILIATION'!D74</f>
        <v>0</v>
      </c>
      <c r="M74" s="16">
        <f>'COST RECONCILIATION'!E74</f>
        <v>0</v>
      </c>
      <c r="N74" s="16">
        <f>'COST RECONCILIATION'!F74</f>
        <v>0</v>
      </c>
      <c r="O74" s="16">
        <f t="shared" si="7"/>
        <v>0</v>
      </c>
      <c r="P74" s="18" t="str">
        <f t="shared" si="8"/>
        <v>OK</v>
      </c>
    </row>
    <row r="75" spans="1:16">
      <c r="A75" s="13">
        <v>5036</v>
      </c>
      <c r="B75" s="13" t="s">
        <v>145</v>
      </c>
      <c r="C75" s="14">
        <v>0</v>
      </c>
      <c r="D75" s="15"/>
      <c r="E75" s="15">
        <v>0</v>
      </c>
      <c r="F75" s="15"/>
      <c r="G75" s="14">
        <v>0</v>
      </c>
      <c r="H75" s="16">
        <f t="shared" si="6"/>
        <v>0</v>
      </c>
      <c r="I75" s="17" t="s">
        <v>71</v>
      </c>
      <c r="J75" s="17" t="s">
        <v>71</v>
      </c>
      <c r="K75" s="18" t="s">
        <v>139</v>
      </c>
      <c r="L75" s="16">
        <f>'COST RECONCILIATION'!D75</f>
        <v>0</v>
      </c>
      <c r="M75" s="16">
        <f>'COST RECONCILIATION'!E75</f>
        <v>0</v>
      </c>
      <c r="N75" s="16">
        <f>'COST RECONCILIATION'!F75</f>
        <v>0</v>
      </c>
      <c r="O75" s="16">
        <f t="shared" si="7"/>
        <v>0</v>
      </c>
      <c r="P75" s="18" t="str">
        <f t="shared" si="8"/>
        <v>OK</v>
      </c>
    </row>
    <row r="76" spans="1:16">
      <c r="A76" s="13">
        <v>5045</v>
      </c>
      <c r="B76" s="13" t="s">
        <v>146</v>
      </c>
      <c r="C76" s="14">
        <v>0</v>
      </c>
      <c r="D76" s="15"/>
      <c r="E76" s="15">
        <v>0</v>
      </c>
      <c r="F76" s="15"/>
      <c r="G76" s="14">
        <v>0</v>
      </c>
      <c r="H76" s="16">
        <f t="shared" si="6"/>
        <v>0</v>
      </c>
      <c r="I76" s="17" t="s">
        <v>71</v>
      </c>
      <c r="J76" s="17" t="s">
        <v>71</v>
      </c>
      <c r="K76" s="18" t="s">
        <v>139</v>
      </c>
      <c r="L76" s="16">
        <f>'COST RECONCILIATION'!D76</f>
        <v>0</v>
      </c>
      <c r="M76" s="16">
        <f>'COST RECONCILIATION'!E76</f>
        <v>0</v>
      </c>
      <c r="N76" s="16">
        <f>'COST RECONCILIATION'!F76</f>
        <v>0</v>
      </c>
      <c r="O76" s="16">
        <f t="shared" si="7"/>
        <v>0</v>
      </c>
      <c r="P76" s="18" t="str">
        <f t="shared" si="8"/>
        <v>OK</v>
      </c>
    </row>
    <row r="77" spans="1:16">
      <c r="A77" s="13">
        <v>5046</v>
      </c>
      <c r="B77" s="13" t="s">
        <v>147</v>
      </c>
      <c r="C77" s="14">
        <v>0</v>
      </c>
      <c r="D77" s="15"/>
      <c r="E77" s="15">
        <v>0</v>
      </c>
      <c r="F77" s="15"/>
      <c r="G77" s="14">
        <v>0</v>
      </c>
      <c r="H77" s="16">
        <f t="shared" si="6"/>
        <v>0</v>
      </c>
      <c r="I77" s="17" t="s">
        <v>71</v>
      </c>
      <c r="J77" s="17" t="s">
        <v>71</v>
      </c>
      <c r="K77" s="18" t="s">
        <v>139</v>
      </c>
      <c r="L77" s="16">
        <f>'COST RECONCILIATION'!D77</f>
        <v>0</v>
      </c>
      <c r="M77" s="16">
        <f>'COST RECONCILIATION'!E77</f>
        <v>0</v>
      </c>
      <c r="N77" s="16">
        <f>'COST RECONCILIATION'!F77</f>
        <v>0</v>
      </c>
      <c r="O77" s="16">
        <f t="shared" si="7"/>
        <v>0</v>
      </c>
      <c r="P77" s="18" t="str">
        <f t="shared" si="8"/>
        <v>OK</v>
      </c>
    </row>
    <row r="78" spans="1:16">
      <c r="A78" s="13">
        <v>5049</v>
      </c>
      <c r="B78" s="13" t="s">
        <v>148</v>
      </c>
      <c r="C78" s="14">
        <v>0</v>
      </c>
      <c r="D78" s="15"/>
      <c r="E78" s="15">
        <v>0</v>
      </c>
      <c r="F78" s="15"/>
      <c r="G78" s="14">
        <v>0</v>
      </c>
      <c r="H78" s="16">
        <f t="shared" si="6"/>
        <v>0</v>
      </c>
      <c r="I78" s="17" t="s">
        <v>71</v>
      </c>
      <c r="J78" s="17" t="s">
        <v>71</v>
      </c>
      <c r="K78" s="18" t="s">
        <v>139</v>
      </c>
      <c r="L78" s="16">
        <f>'COST RECONCILIATION'!D78</f>
        <v>0</v>
      </c>
      <c r="M78" s="16">
        <f>'COST RECONCILIATION'!E78</f>
        <v>0</v>
      </c>
      <c r="N78" s="16">
        <f>'COST RECONCILIATION'!F78</f>
        <v>0</v>
      </c>
      <c r="O78" s="16">
        <f t="shared" si="7"/>
        <v>0</v>
      </c>
      <c r="P78" s="18" t="str">
        <f t="shared" si="8"/>
        <v>OK</v>
      </c>
    </row>
    <row r="79" spans="1:16">
      <c r="A79" s="13">
        <v>5050</v>
      </c>
      <c r="B79" s="13" t="s">
        <v>149</v>
      </c>
      <c r="C79" s="14">
        <v>0</v>
      </c>
      <c r="D79" s="15"/>
      <c r="E79" s="15">
        <v>0</v>
      </c>
      <c r="F79" s="15"/>
      <c r="G79" s="14">
        <v>0</v>
      </c>
      <c r="H79" s="16">
        <f t="shared" si="6"/>
        <v>0</v>
      </c>
      <c r="I79" s="17" t="s">
        <v>71</v>
      </c>
      <c r="J79" s="17" t="s">
        <v>71</v>
      </c>
      <c r="K79" s="18" t="s">
        <v>139</v>
      </c>
      <c r="L79" s="16">
        <f>'COST RECONCILIATION'!D79</f>
        <v>0</v>
      </c>
      <c r="M79" s="16">
        <f>'COST RECONCILIATION'!E79</f>
        <v>0</v>
      </c>
      <c r="N79" s="16">
        <f>'COST RECONCILIATION'!F79</f>
        <v>0</v>
      </c>
      <c r="O79" s="16">
        <f t="shared" si="7"/>
        <v>0</v>
      </c>
      <c r="P79" s="18" t="str">
        <f t="shared" si="8"/>
        <v>OK</v>
      </c>
    </row>
    <row r="80" spans="1:16">
      <c r="A80" s="13">
        <v>5051</v>
      </c>
      <c r="B80" s="13" t="s">
        <v>150</v>
      </c>
      <c r="C80" s="14">
        <v>0</v>
      </c>
      <c r="D80" s="15"/>
      <c r="E80" s="15">
        <v>0</v>
      </c>
      <c r="F80" s="15"/>
      <c r="G80" s="14">
        <v>0</v>
      </c>
      <c r="H80" s="16">
        <f t="shared" si="6"/>
        <v>0</v>
      </c>
      <c r="I80" s="17" t="s">
        <v>71</v>
      </c>
      <c r="J80" s="17" t="s">
        <v>71</v>
      </c>
      <c r="K80" s="18" t="s">
        <v>139</v>
      </c>
      <c r="L80" s="16">
        <f>'COST RECONCILIATION'!D80</f>
        <v>0</v>
      </c>
      <c r="M80" s="16">
        <f>'COST RECONCILIATION'!E80</f>
        <v>0</v>
      </c>
      <c r="N80" s="16">
        <f>'COST RECONCILIATION'!F80</f>
        <v>0</v>
      </c>
      <c r="O80" s="16">
        <f t="shared" si="7"/>
        <v>0</v>
      </c>
      <c r="P80" s="18" t="str">
        <f t="shared" si="8"/>
        <v>OK</v>
      </c>
    </row>
    <row r="81" spans="1:16">
      <c r="A81" s="13">
        <v>5055</v>
      </c>
      <c r="B81" s="13" t="s">
        <v>151</v>
      </c>
      <c r="C81" s="14">
        <v>0</v>
      </c>
      <c r="D81" s="15"/>
      <c r="E81" s="15">
        <v>0</v>
      </c>
      <c r="F81" s="15"/>
      <c r="G81" s="14">
        <v>0</v>
      </c>
      <c r="H81" s="16">
        <f t="shared" si="6"/>
        <v>0</v>
      </c>
      <c r="I81" s="17" t="s">
        <v>71</v>
      </c>
      <c r="J81" s="17" t="s">
        <v>71</v>
      </c>
      <c r="K81" s="18" t="s">
        <v>139</v>
      </c>
      <c r="L81" s="16">
        <f>'COST RECONCILIATION'!D81</f>
        <v>0</v>
      </c>
      <c r="M81" s="16">
        <f>'COST RECONCILIATION'!E81</f>
        <v>0</v>
      </c>
      <c r="N81" s="16">
        <f>'COST RECONCILIATION'!F81</f>
        <v>0</v>
      </c>
      <c r="O81" s="16">
        <f t="shared" si="7"/>
        <v>0</v>
      </c>
      <c r="P81" s="18" t="str">
        <f t="shared" si="8"/>
        <v>OK</v>
      </c>
    </row>
    <row r="82" spans="1:16">
      <c r="A82" s="13">
        <v>5060</v>
      </c>
      <c r="B82" s="13" t="s">
        <v>152</v>
      </c>
      <c r="C82" s="14">
        <v>0</v>
      </c>
      <c r="D82" s="15"/>
      <c r="E82" s="15">
        <v>0</v>
      </c>
      <c r="F82" s="15"/>
      <c r="G82" s="14">
        <v>0</v>
      </c>
      <c r="H82" s="16">
        <f t="shared" si="6"/>
        <v>0</v>
      </c>
      <c r="I82" s="17" t="s">
        <v>71</v>
      </c>
      <c r="J82" s="17" t="s">
        <v>71</v>
      </c>
      <c r="K82" s="18" t="s">
        <v>139</v>
      </c>
      <c r="L82" s="16">
        <f>'COST RECONCILIATION'!D82</f>
        <v>0</v>
      </c>
      <c r="M82" s="16">
        <f>'COST RECONCILIATION'!E82</f>
        <v>0</v>
      </c>
      <c r="N82" s="16">
        <f>'COST RECONCILIATION'!F82</f>
        <v>0</v>
      </c>
      <c r="O82" s="16">
        <f t="shared" si="7"/>
        <v>0</v>
      </c>
      <c r="P82" s="18" t="str">
        <f t="shared" si="8"/>
        <v>OK</v>
      </c>
    </row>
    <row r="83" spans="1:16">
      <c r="A83" s="13">
        <v>5065</v>
      </c>
      <c r="B83" s="13" t="s">
        <v>153</v>
      </c>
      <c r="C83" s="14">
        <v>0</v>
      </c>
      <c r="D83" s="15"/>
      <c r="E83" s="15">
        <v>0</v>
      </c>
      <c r="F83" s="15"/>
      <c r="G83" s="14">
        <v>0</v>
      </c>
      <c r="H83" s="16">
        <f t="shared" si="6"/>
        <v>0</v>
      </c>
      <c r="I83" s="17" t="s">
        <v>71</v>
      </c>
      <c r="J83" s="17" t="s">
        <v>71</v>
      </c>
      <c r="K83" s="18" t="s">
        <v>139</v>
      </c>
      <c r="L83" s="16">
        <f>'COST RECONCILIATION'!D83</f>
        <v>0</v>
      </c>
      <c r="M83" s="16">
        <f>'COST RECONCILIATION'!E83</f>
        <v>0</v>
      </c>
      <c r="N83" s="16">
        <f>'COST RECONCILIATION'!F83</f>
        <v>0</v>
      </c>
      <c r="O83" s="16">
        <f t="shared" si="7"/>
        <v>0</v>
      </c>
      <c r="P83" s="18" t="str">
        <f t="shared" si="8"/>
        <v>OK</v>
      </c>
    </row>
    <row r="84" spans="1:16">
      <c r="A84" s="13">
        <v>5070</v>
      </c>
      <c r="B84" s="13" t="s">
        <v>154</v>
      </c>
      <c r="C84" s="14">
        <v>0</v>
      </c>
      <c r="D84" s="15"/>
      <c r="E84" s="15">
        <v>0</v>
      </c>
      <c r="F84" s="15"/>
      <c r="G84" s="14">
        <v>0</v>
      </c>
      <c r="H84" s="16">
        <f t="shared" si="6"/>
        <v>0</v>
      </c>
      <c r="I84" s="17" t="s">
        <v>71</v>
      </c>
      <c r="J84" s="17" t="s">
        <v>71</v>
      </c>
      <c r="K84" s="18" t="s">
        <v>139</v>
      </c>
      <c r="L84" s="16">
        <f>'COST RECONCILIATION'!D84</f>
        <v>0</v>
      </c>
      <c r="M84" s="16">
        <f>'COST RECONCILIATION'!E84</f>
        <v>0</v>
      </c>
      <c r="N84" s="16">
        <f>'COST RECONCILIATION'!F84</f>
        <v>0</v>
      </c>
      <c r="O84" s="16">
        <f t="shared" si="7"/>
        <v>0</v>
      </c>
      <c r="P84" s="18" t="str">
        <f t="shared" si="8"/>
        <v>OK</v>
      </c>
    </row>
    <row r="85" spans="1:16">
      <c r="A85" s="13">
        <v>5075</v>
      </c>
      <c r="B85" s="13" t="s">
        <v>155</v>
      </c>
      <c r="C85" s="14">
        <v>0</v>
      </c>
      <c r="D85" s="15"/>
      <c r="E85" s="15">
        <v>0</v>
      </c>
      <c r="F85" s="15"/>
      <c r="G85" s="14">
        <v>0</v>
      </c>
      <c r="H85" s="16">
        <f t="shared" si="6"/>
        <v>0</v>
      </c>
      <c r="I85" s="17" t="s">
        <v>71</v>
      </c>
      <c r="J85" s="17" t="s">
        <v>71</v>
      </c>
      <c r="K85" s="18" t="s">
        <v>139</v>
      </c>
      <c r="L85" s="16">
        <f>'COST RECONCILIATION'!D85</f>
        <v>0</v>
      </c>
      <c r="M85" s="16">
        <f>'COST RECONCILIATION'!E85</f>
        <v>0</v>
      </c>
      <c r="N85" s="16">
        <f>'COST RECONCILIATION'!F85</f>
        <v>0</v>
      </c>
      <c r="O85" s="16">
        <f t="shared" si="7"/>
        <v>0</v>
      </c>
      <c r="P85" s="18" t="str">
        <f t="shared" si="8"/>
        <v>OK</v>
      </c>
    </row>
    <row r="86" spans="1:16">
      <c r="A86" s="13">
        <v>5080</v>
      </c>
      <c r="B86" s="13" t="s">
        <v>156</v>
      </c>
      <c r="C86" s="14">
        <v>0</v>
      </c>
      <c r="D86" s="15"/>
      <c r="E86" s="15">
        <v>0</v>
      </c>
      <c r="F86" s="15"/>
      <c r="G86" s="14">
        <v>0</v>
      </c>
      <c r="H86" s="16">
        <f t="shared" si="6"/>
        <v>0</v>
      </c>
      <c r="I86" s="17" t="s">
        <v>71</v>
      </c>
      <c r="J86" s="17" t="s">
        <v>71</v>
      </c>
      <c r="K86" s="18" t="s">
        <v>139</v>
      </c>
      <c r="L86" s="16">
        <f>'COST RECONCILIATION'!D86</f>
        <v>0</v>
      </c>
      <c r="M86" s="16">
        <f>'COST RECONCILIATION'!E86</f>
        <v>0</v>
      </c>
      <c r="N86" s="16">
        <f>'COST RECONCILIATION'!F86</f>
        <v>0</v>
      </c>
      <c r="O86" s="16">
        <f t="shared" si="7"/>
        <v>0</v>
      </c>
      <c r="P86" s="18" t="str">
        <f t="shared" si="8"/>
        <v>OK</v>
      </c>
    </row>
    <row r="87" spans="1:16">
      <c r="A87" s="13">
        <v>5090</v>
      </c>
      <c r="B87" s="13" t="s">
        <v>157</v>
      </c>
      <c r="C87" s="14">
        <v>0</v>
      </c>
      <c r="D87" s="15"/>
      <c r="E87" s="15">
        <v>0</v>
      </c>
      <c r="F87" s="15"/>
      <c r="G87" s="14">
        <v>0</v>
      </c>
      <c r="H87" s="16">
        <f t="shared" si="6"/>
        <v>0</v>
      </c>
      <c r="I87" s="17" t="s">
        <v>71</v>
      </c>
      <c r="J87" s="17" t="s">
        <v>71</v>
      </c>
      <c r="K87" s="18" t="s">
        <v>139</v>
      </c>
      <c r="L87" s="16">
        <f>'COST RECONCILIATION'!D87</f>
        <v>0</v>
      </c>
      <c r="M87" s="16">
        <f>'COST RECONCILIATION'!E87</f>
        <v>0</v>
      </c>
      <c r="N87" s="16">
        <f>'COST RECONCILIATION'!F87</f>
        <v>0</v>
      </c>
      <c r="O87" s="16">
        <f t="shared" si="7"/>
        <v>0</v>
      </c>
      <c r="P87" s="18" t="str">
        <f t="shared" si="8"/>
        <v>OK</v>
      </c>
    </row>
    <row r="88" spans="1:16">
      <c r="A88" s="13">
        <v>5095</v>
      </c>
      <c r="B88" s="13" t="s">
        <v>158</v>
      </c>
      <c r="C88" s="14">
        <v>0</v>
      </c>
      <c r="D88" s="15"/>
      <c r="E88" s="15">
        <v>0</v>
      </c>
      <c r="F88" s="15"/>
      <c r="G88" s="14">
        <v>0</v>
      </c>
      <c r="H88" s="16">
        <f t="shared" si="6"/>
        <v>0</v>
      </c>
      <c r="I88" s="17" t="s">
        <v>71</v>
      </c>
      <c r="J88" s="17" t="s">
        <v>71</v>
      </c>
      <c r="K88" s="18" t="s">
        <v>139</v>
      </c>
      <c r="L88" s="16">
        <f>'COST RECONCILIATION'!D88</f>
        <v>0</v>
      </c>
      <c r="M88" s="16">
        <f>'COST RECONCILIATION'!E88</f>
        <v>0</v>
      </c>
      <c r="N88" s="16">
        <f>'COST RECONCILIATION'!F88</f>
        <v>0</v>
      </c>
      <c r="O88" s="16">
        <f t="shared" si="7"/>
        <v>0</v>
      </c>
      <c r="P88" s="18" t="str">
        <f t="shared" si="8"/>
        <v>OK</v>
      </c>
    </row>
    <row r="89" spans="1:16">
      <c r="A89" s="13">
        <v>5100</v>
      </c>
      <c r="B89" s="13" t="s">
        <v>159</v>
      </c>
      <c r="C89" s="14">
        <v>0</v>
      </c>
      <c r="D89" s="15"/>
      <c r="E89" s="15">
        <v>0</v>
      </c>
      <c r="F89" s="15"/>
      <c r="G89" s="14">
        <v>0</v>
      </c>
      <c r="H89" s="16">
        <f t="shared" si="6"/>
        <v>0</v>
      </c>
      <c r="I89" s="17" t="s">
        <v>71</v>
      </c>
      <c r="J89" s="17" t="s">
        <v>71</v>
      </c>
      <c r="K89" s="18" t="s">
        <v>139</v>
      </c>
      <c r="L89" s="16">
        <f>'COST RECONCILIATION'!D89</f>
        <v>0</v>
      </c>
      <c r="M89" s="16">
        <f>'COST RECONCILIATION'!E89</f>
        <v>0</v>
      </c>
      <c r="N89" s="16">
        <f>'COST RECONCILIATION'!F89</f>
        <v>0</v>
      </c>
      <c r="O89" s="16">
        <f t="shared" si="7"/>
        <v>0</v>
      </c>
      <c r="P89" s="18" t="str">
        <f t="shared" si="8"/>
        <v>OK</v>
      </c>
    </row>
    <row r="90" spans="1:16">
      <c r="A90" s="13">
        <v>5101</v>
      </c>
      <c r="B90" s="13" t="s">
        <v>160</v>
      </c>
      <c r="C90" s="14">
        <v>0</v>
      </c>
      <c r="D90" s="15"/>
      <c r="E90" s="15">
        <v>0</v>
      </c>
      <c r="F90" s="15"/>
      <c r="G90" s="14">
        <v>0</v>
      </c>
      <c r="H90" s="16">
        <f t="shared" si="6"/>
        <v>0</v>
      </c>
      <c r="I90" s="17" t="s">
        <v>71</v>
      </c>
      <c r="J90" s="17" t="s">
        <v>71</v>
      </c>
      <c r="K90" s="18" t="s">
        <v>139</v>
      </c>
      <c r="L90" s="16">
        <f>'COST RECONCILIATION'!D90</f>
        <v>0</v>
      </c>
      <c r="M90" s="16">
        <f>'COST RECONCILIATION'!E90</f>
        <v>0</v>
      </c>
      <c r="N90" s="16">
        <f>'COST RECONCILIATION'!F90</f>
        <v>0</v>
      </c>
      <c r="O90" s="16">
        <f t="shared" si="7"/>
        <v>0</v>
      </c>
      <c r="P90" s="18" t="str">
        <f t="shared" si="8"/>
        <v>OK</v>
      </c>
    </row>
    <row r="91" spans="1:16">
      <c r="A91" s="13">
        <v>5111</v>
      </c>
      <c r="B91" s="13" t="s">
        <v>161</v>
      </c>
      <c r="C91" s="14">
        <v>0</v>
      </c>
      <c r="D91" s="15"/>
      <c r="E91" s="15">
        <v>0</v>
      </c>
      <c r="F91" s="15"/>
      <c r="G91" s="14">
        <v>0</v>
      </c>
      <c r="H91" s="16">
        <f t="shared" si="6"/>
        <v>0</v>
      </c>
      <c r="I91" s="17" t="s">
        <v>71</v>
      </c>
      <c r="J91" s="17" t="s">
        <v>71</v>
      </c>
      <c r="K91" s="18" t="s">
        <v>139</v>
      </c>
      <c r="L91" s="16">
        <f>'COST RECONCILIATION'!D91</f>
        <v>0</v>
      </c>
      <c r="M91" s="16">
        <f>'COST RECONCILIATION'!E91</f>
        <v>0</v>
      </c>
      <c r="N91" s="16">
        <f>'COST RECONCILIATION'!F91</f>
        <v>0</v>
      </c>
      <c r="O91" s="16">
        <f t="shared" si="7"/>
        <v>0</v>
      </c>
      <c r="P91" s="18" t="str">
        <f t="shared" si="8"/>
        <v>OK</v>
      </c>
    </row>
    <row r="92" spans="1:16">
      <c r="A92" s="13">
        <v>5130</v>
      </c>
      <c r="B92" s="13" t="s">
        <v>162</v>
      </c>
      <c r="C92" s="14">
        <v>0</v>
      </c>
      <c r="D92" s="15"/>
      <c r="E92" s="15">
        <v>0</v>
      </c>
      <c r="F92" s="15"/>
      <c r="G92" s="14">
        <v>0</v>
      </c>
      <c r="H92" s="16">
        <f t="shared" si="6"/>
        <v>0</v>
      </c>
      <c r="I92" s="17" t="s">
        <v>71</v>
      </c>
      <c r="J92" s="17" t="s">
        <v>71</v>
      </c>
      <c r="K92" s="18" t="s">
        <v>139</v>
      </c>
      <c r="L92" s="16">
        <f>'COST RECONCILIATION'!D92</f>
        <v>0</v>
      </c>
      <c r="M92" s="16">
        <f>'COST RECONCILIATION'!E92</f>
        <v>0</v>
      </c>
      <c r="N92" s="16">
        <f>'COST RECONCILIATION'!F92</f>
        <v>0</v>
      </c>
      <c r="O92" s="16">
        <f t="shared" si="7"/>
        <v>0</v>
      </c>
      <c r="P92" s="18" t="str">
        <f t="shared" si="8"/>
        <v>OK</v>
      </c>
    </row>
    <row r="93" spans="1:16">
      <c r="A93" s="13">
        <v>5140</v>
      </c>
      <c r="B93" s="13" t="s">
        <v>163</v>
      </c>
      <c r="C93" s="14">
        <v>0</v>
      </c>
      <c r="D93" s="15"/>
      <c r="E93" s="15">
        <v>0</v>
      </c>
      <c r="F93" s="15"/>
      <c r="G93" s="14">
        <v>0</v>
      </c>
      <c r="H93" s="16">
        <f t="shared" si="6"/>
        <v>0</v>
      </c>
      <c r="I93" s="17" t="s">
        <v>71</v>
      </c>
      <c r="J93" s="17" t="s">
        <v>71</v>
      </c>
      <c r="K93" s="18" t="s">
        <v>139</v>
      </c>
      <c r="L93" s="16">
        <f>'COST RECONCILIATION'!D93</f>
        <v>0</v>
      </c>
      <c r="M93" s="16">
        <f>'COST RECONCILIATION'!E93</f>
        <v>0</v>
      </c>
      <c r="N93" s="16">
        <f>'COST RECONCILIATION'!F93</f>
        <v>0</v>
      </c>
      <c r="O93" s="16">
        <f t="shared" si="7"/>
        <v>0</v>
      </c>
      <c r="P93" s="18" t="str">
        <f t="shared" si="8"/>
        <v>OK</v>
      </c>
    </row>
    <row r="94" spans="1:16">
      <c r="A94" s="13">
        <v>5150</v>
      </c>
      <c r="B94" s="13" t="s">
        <v>164</v>
      </c>
      <c r="C94" s="14">
        <v>0</v>
      </c>
      <c r="D94" s="15"/>
      <c r="E94" s="15">
        <v>0</v>
      </c>
      <c r="F94" s="15"/>
      <c r="G94" s="14">
        <v>0</v>
      </c>
      <c r="H94" s="16">
        <f t="shared" si="6"/>
        <v>0</v>
      </c>
      <c r="I94" s="17" t="s">
        <v>71</v>
      </c>
      <c r="J94" s="17" t="s">
        <v>71</v>
      </c>
      <c r="K94" s="18" t="s">
        <v>139</v>
      </c>
      <c r="L94" s="16">
        <f>'COST RECONCILIATION'!D94</f>
        <v>0</v>
      </c>
      <c r="M94" s="16">
        <f>'COST RECONCILIATION'!E94</f>
        <v>0</v>
      </c>
      <c r="N94" s="16">
        <f>'COST RECONCILIATION'!F94</f>
        <v>0</v>
      </c>
      <c r="O94" s="16">
        <f t="shared" si="7"/>
        <v>0</v>
      </c>
      <c r="P94" s="18" t="str">
        <f t="shared" si="8"/>
        <v>OK</v>
      </c>
    </row>
    <row r="95" spans="1:16">
      <c r="A95" s="13">
        <v>5160</v>
      </c>
      <c r="B95" s="13" t="s">
        <v>165</v>
      </c>
      <c r="C95" s="14">
        <v>0</v>
      </c>
      <c r="D95" s="15"/>
      <c r="E95" s="15">
        <v>0</v>
      </c>
      <c r="F95" s="15"/>
      <c r="G95" s="14">
        <v>0</v>
      </c>
      <c r="H95" s="16">
        <f t="shared" si="6"/>
        <v>0</v>
      </c>
      <c r="I95" s="17" t="s">
        <v>71</v>
      </c>
      <c r="J95" s="17" t="s">
        <v>71</v>
      </c>
      <c r="K95" s="18" t="s">
        <v>139</v>
      </c>
      <c r="L95" s="16">
        <f>'COST RECONCILIATION'!D95</f>
        <v>0</v>
      </c>
      <c r="M95" s="16">
        <f>'COST RECONCILIATION'!E95</f>
        <v>0</v>
      </c>
      <c r="N95" s="16">
        <f>'COST RECONCILIATION'!F95</f>
        <v>0</v>
      </c>
      <c r="O95" s="16">
        <f t="shared" si="7"/>
        <v>0</v>
      </c>
      <c r="P95" s="18" t="str">
        <f t="shared" si="8"/>
        <v>OK</v>
      </c>
    </row>
    <row r="96" spans="1:16">
      <c r="A96" s="13">
        <v>5170</v>
      </c>
      <c r="B96" s="13" t="s">
        <v>166</v>
      </c>
      <c r="C96" s="14">
        <v>0</v>
      </c>
      <c r="D96" s="15"/>
      <c r="E96" s="15">
        <v>0</v>
      </c>
      <c r="F96" s="15"/>
      <c r="G96" s="14">
        <v>0</v>
      </c>
      <c r="H96" s="16">
        <f t="shared" si="6"/>
        <v>0</v>
      </c>
      <c r="I96" s="17" t="s">
        <v>71</v>
      </c>
      <c r="J96" s="17" t="s">
        <v>71</v>
      </c>
      <c r="K96" s="18" t="s">
        <v>139</v>
      </c>
      <c r="L96" s="16">
        <f>'COST RECONCILIATION'!D96</f>
        <v>0</v>
      </c>
      <c r="M96" s="16">
        <f>'COST RECONCILIATION'!E96</f>
        <v>0</v>
      </c>
      <c r="N96" s="16">
        <f>'COST RECONCILIATION'!F96</f>
        <v>0</v>
      </c>
      <c r="O96" s="16">
        <f t="shared" si="7"/>
        <v>0</v>
      </c>
      <c r="P96" s="18" t="str">
        <f t="shared" si="8"/>
        <v>OK</v>
      </c>
    </row>
    <row r="97" spans="1:16">
      <c r="A97" s="13">
        <v>5180</v>
      </c>
      <c r="B97" s="13" t="s">
        <v>167</v>
      </c>
      <c r="C97" s="14">
        <v>0</v>
      </c>
      <c r="D97" s="15"/>
      <c r="E97" s="15">
        <v>0</v>
      </c>
      <c r="F97" s="15"/>
      <c r="G97" s="14">
        <v>0</v>
      </c>
      <c r="H97" s="16">
        <f t="shared" si="6"/>
        <v>0</v>
      </c>
      <c r="I97" s="17" t="s">
        <v>71</v>
      </c>
      <c r="J97" s="17" t="s">
        <v>71</v>
      </c>
      <c r="K97" s="18" t="s">
        <v>139</v>
      </c>
      <c r="L97" s="16">
        <f>'COST RECONCILIATION'!D97</f>
        <v>0</v>
      </c>
      <c r="M97" s="16">
        <f>'COST RECONCILIATION'!E97</f>
        <v>0</v>
      </c>
      <c r="N97" s="16">
        <f>'COST RECONCILIATION'!F97</f>
        <v>0</v>
      </c>
      <c r="O97" s="16">
        <f t="shared" si="7"/>
        <v>0</v>
      </c>
      <c r="P97" s="18" t="str">
        <f t="shared" si="8"/>
        <v>OK</v>
      </c>
    </row>
    <row r="98" spans="1:16">
      <c r="A98" s="13">
        <v>5190</v>
      </c>
      <c r="B98" s="13" t="s">
        <v>168</v>
      </c>
      <c r="C98" s="14">
        <v>0</v>
      </c>
      <c r="D98" s="15"/>
      <c r="E98" s="15">
        <v>0</v>
      </c>
      <c r="F98" s="15"/>
      <c r="G98" s="14">
        <v>0</v>
      </c>
      <c r="H98" s="16">
        <f t="shared" si="6"/>
        <v>0</v>
      </c>
      <c r="I98" s="17" t="s">
        <v>71</v>
      </c>
      <c r="J98" s="17" t="s">
        <v>71</v>
      </c>
      <c r="K98" s="18" t="s">
        <v>139</v>
      </c>
      <c r="L98" s="16">
        <f>'COST RECONCILIATION'!D98</f>
        <v>0</v>
      </c>
      <c r="M98" s="16">
        <f>'COST RECONCILIATION'!E98</f>
        <v>0</v>
      </c>
      <c r="N98" s="16">
        <f>'COST RECONCILIATION'!F98</f>
        <v>0</v>
      </c>
      <c r="O98" s="16">
        <f t="shared" si="7"/>
        <v>0</v>
      </c>
      <c r="P98" s="18" t="str">
        <f t="shared" si="8"/>
        <v>OK</v>
      </c>
    </row>
    <row r="99" spans="1:16">
      <c r="A99" s="13">
        <v>5200</v>
      </c>
      <c r="B99" s="13" t="s">
        <v>169</v>
      </c>
      <c r="C99" s="14">
        <v>0</v>
      </c>
      <c r="D99" s="15"/>
      <c r="E99" s="15">
        <v>0</v>
      </c>
      <c r="F99" s="15"/>
      <c r="G99" s="14">
        <v>0</v>
      </c>
      <c r="H99" s="16">
        <f t="shared" si="6"/>
        <v>0</v>
      </c>
      <c r="I99" s="17" t="s">
        <v>71</v>
      </c>
      <c r="J99" s="17" t="s">
        <v>71</v>
      </c>
      <c r="K99" s="18" t="s">
        <v>139</v>
      </c>
      <c r="L99" s="16">
        <f>'COST RECONCILIATION'!D99</f>
        <v>0</v>
      </c>
      <c r="M99" s="16">
        <f>'COST RECONCILIATION'!E99</f>
        <v>0</v>
      </c>
      <c r="N99" s="16">
        <f>'COST RECONCILIATION'!F99</f>
        <v>0</v>
      </c>
      <c r="O99" s="16">
        <f t="shared" si="7"/>
        <v>0</v>
      </c>
      <c r="P99" s="18" t="str">
        <f t="shared" si="8"/>
        <v>OK</v>
      </c>
    </row>
    <row r="100" spans="1:16">
      <c r="A100" s="13">
        <v>5220</v>
      </c>
      <c r="B100" s="13" t="s">
        <v>170</v>
      </c>
      <c r="C100" s="14">
        <v>0</v>
      </c>
      <c r="D100" s="15"/>
      <c r="E100" s="15">
        <v>0</v>
      </c>
      <c r="F100" s="15"/>
      <c r="G100" s="14">
        <v>0</v>
      </c>
      <c r="H100" s="16">
        <f t="shared" si="6"/>
        <v>0</v>
      </c>
      <c r="I100" s="17" t="s">
        <v>71</v>
      </c>
      <c r="J100" s="17" t="s">
        <v>71</v>
      </c>
      <c r="K100" s="18" t="s">
        <v>139</v>
      </c>
      <c r="L100" s="16">
        <f>'COST RECONCILIATION'!D100</f>
        <v>0</v>
      </c>
      <c r="M100" s="16">
        <f>'COST RECONCILIATION'!E100</f>
        <v>0</v>
      </c>
      <c r="N100" s="16">
        <f>'COST RECONCILIATION'!F100</f>
        <v>0</v>
      </c>
      <c r="O100" s="16">
        <f t="shared" si="7"/>
        <v>0</v>
      </c>
      <c r="P100" s="18" t="str">
        <f t="shared" si="8"/>
        <v>OK</v>
      </c>
    </row>
    <row r="101" spans="1:16">
      <c r="A101" s="13">
        <v>5230</v>
      </c>
      <c r="B101" s="13" t="s">
        <v>171</v>
      </c>
      <c r="C101" s="14">
        <v>0</v>
      </c>
      <c r="D101" s="15"/>
      <c r="E101" s="15">
        <v>0</v>
      </c>
      <c r="F101" s="15"/>
      <c r="G101" s="14">
        <v>0</v>
      </c>
      <c r="H101" s="16">
        <f t="shared" si="6"/>
        <v>0</v>
      </c>
      <c r="I101" s="17" t="s">
        <v>71</v>
      </c>
      <c r="J101" s="17" t="s">
        <v>71</v>
      </c>
      <c r="K101" s="18" t="s">
        <v>139</v>
      </c>
      <c r="L101" s="16">
        <f>'COST RECONCILIATION'!D101</f>
        <v>0</v>
      </c>
      <c r="M101" s="16">
        <f>'COST RECONCILIATION'!E101</f>
        <v>0</v>
      </c>
      <c r="N101" s="16">
        <f>'COST RECONCILIATION'!F101</f>
        <v>0</v>
      </c>
      <c r="O101" s="16">
        <f t="shared" si="7"/>
        <v>0</v>
      </c>
      <c r="P101" s="18" t="str">
        <f t="shared" si="8"/>
        <v>OK</v>
      </c>
    </row>
    <row r="102" spans="1:16">
      <c r="A102" s="13">
        <v>5240</v>
      </c>
      <c r="B102" s="13" t="s">
        <v>172</v>
      </c>
      <c r="C102" s="14">
        <v>0</v>
      </c>
      <c r="D102" s="15"/>
      <c r="E102" s="15">
        <v>0</v>
      </c>
      <c r="F102" s="15"/>
      <c r="G102" s="14">
        <v>0</v>
      </c>
      <c r="H102" s="16">
        <f t="shared" ref="H102:H118" si="9">C102+E102-G102</f>
        <v>0</v>
      </c>
      <c r="I102" s="17" t="s">
        <v>71</v>
      </c>
      <c r="J102" s="17" t="s">
        <v>71</v>
      </c>
      <c r="K102" s="18" t="s">
        <v>139</v>
      </c>
      <c r="L102" s="16">
        <f>'COST RECONCILIATION'!D102</f>
        <v>0</v>
      </c>
      <c r="M102" s="16">
        <f>'COST RECONCILIATION'!E102</f>
        <v>0</v>
      </c>
      <c r="N102" s="16">
        <f>'COST RECONCILIATION'!F102</f>
        <v>0</v>
      </c>
      <c r="O102" s="16">
        <f t="shared" ref="O102:O118" si="10">L102-H102</f>
        <v>0</v>
      </c>
      <c r="P102" s="18" t="str">
        <f t="shared" ref="P102:P118" si="11">IF(J102="No","EXCLUDED",IF(L102&gt;H102,"OVER BUDGET","OK"))</f>
        <v>OK</v>
      </c>
    </row>
    <row r="103" spans="1:16">
      <c r="A103" s="13">
        <v>5270</v>
      </c>
      <c r="B103" s="13" t="s">
        <v>173</v>
      </c>
      <c r="C103" s="14">
        <v>0</v>
      </c>
      <c r="D103" s="15"/>
      <c r="E103" s="15">
        <v>0</v>
      </c>
      <c r="F103" s="15"/>
      <c r="G103" s="14">
        <v>0</v>
      </c>
      <c r="H103" s="16">
        <f t="shared" si="9"/>
        <v>0</v>
      </c>
      <c r="I103" s="17" t="s">
        <v>71</v>
      </c>
      <c r="J103" s="17" t="s">
        <v>71</v>
      </c>
      <c r="K103" s="18" t="s">
        <v>139</v>
      </c>
      <c r="L103" s="16">
        <f>'COST RECONCILIATION'!D103</f>
        <v>0</v>
      </c>
      <c r="M103" s="16">
        <f>'COST RECONCILIATION'!E103</f>
        <v>0</v>
      </c>
      <c r="N103" s="16">
        <f>'COST RECONCILIATION'!F103</f>
        <v>0</v>
      </c>
      <c r="O103" s="16">
        <f t="shared" si="10"/>
        <v>0</v>
      </c>
      <c r="P103" s="18" t="str">
        <f t="shared" si="11"/>
        <v>OK</v>
      </c>
    </row>
    <row r="104" spans="1:16">
      <c r="A104" s="13">
        <v>6040</v>
      </c>
      <c r="B104" s="13" t="s">
        <v>174</v>
      </c>
      <c r="C104" s="14">
        <v>0</v>
      </c>
      <c r="D104" s="15"/>
      <c r="E104" s="15">
        <v>0</v>
      </c>
      <c r="F104" s="15"/>
      <c r="G104" s="14">
        <v>0</v>
      </c>
      <c r="H104" s="16">
        <f t="shared" si="9"/>
        <v>0</v>
      </c>
      <c r="I104" s="17" t="s">
        <v>71</v>
      </c>
      <c r="J104" s="17" t="s">
        <v>71</v>
      </c>
      <c r="K104" s="18" t="s">
        <v>175</v>
      </c>
      <c r="L104" s="16">
        <f>'COST RECONCILIATION'!D104</f>
        <v>0</v>
      </c>
      <c r="M104" s="16">
        <f>'COST RECONCILIATION'!E104</f>
        <v>0</v>
      </c>
      <c r="N104" s="16">
        <f>'COST RECONCILIATION'!F104</f>
        <v>0</v>
      </c>
      <c r="O104" s="16">
        <f t="shared" si="10"/>
        <v>0</v>
      </c>
      <c r="P104" s="18" t="str">
        <f t="shared" si="11"/>
        <v>OK</v>
      </c>
    </row>
    <row r="105" spans="1:16">
      <c r="A105" s="13">
        <v>6050</v>
      </c>
      <c r="B105" s="13" t="s">
        <v>176</v>
      </c>
      <c r="C105" s="14">
        <v>0</v>
      </c>
      <c r="D105" s="15"/>
      <c r="E105" s="15">
        <v>0</v>
      </c>
      <c r="F105" s="15"/>
      <c r="G105" s="14">
        <v>0</v>
      </c>
      <c r="H105" s="16">
        <f t="shared" si="9"/>
        <v>0</v>
      </c>
      <c r="I105" s="17" t="s">
        <v>71</v>
      </c>
      <c r="J105" s="17" t="s">
        <v>71</v>
      </c>
      <c r="K105" s="18" t="s">
        <v>175</v>
      </c>
      <c r="L105" s="16">
        <f>'COST RECONCILIATION'!D105</f>
        <v>0</v>
      </c>
      <c r="M105" s="16">
        <f>'COST RECONCILIATION'!E105</f>
        <v>0</v>
      </c>
      <c r="N105" s="16">
        <f>'COST RECONCILIATION'!F105</f>
        <v>0</v>
      </c>
      <c r="O105" s="16">
        <f t="shared" si="10"/>
        <v>0</v>
      </c>
      <c r="P105" s="18" t="str">
        <f t="shared" si="11"/>
        <v>OK</v>
      </c>
    </row>
    <row r="106" spans="1:16">
      <c r="A106" s="13">
        <v>6060</v>
      </c>
      <c r="B106" s="13" t="s">
        <v>177</v>
      </c>
      <c r="C106" s="14">
        <v>0</v>
      </c>
      <c r="D106" s="15"/>
      <c r="E106" s="15">
        <v>0</v>
      </c>
      <c r="F106" s="15"/>
      <c r="G106" s="14">
        <v>0</v>
      </c>
      <c r="H106" s="16">
        <f t="shared" si="9"/>
        <v>0</v>
      </c>
      <c r="I106" s="17" t="s">
        <v>71</v>
      </c>
      <c r="J106" s="17" t="s">
        <v>71</v>
      </c>
      <c r="K106" s="18" t="s">
        <v>175</v>
      </c>
      <c r="L106" s="16">
        <f>'COST RECONCILIATION'!D106</f>
        <v>0</v>
      </c>
      <c r="M106" s="16">
        <f>'COST RECONCILIATION'!E106</f>
        <v>0</v>
      </c>
      <c r="N106" s="16">
        <f>'COST RECONCILIATION'!F106</f>
        <v>0</v>
      </c>
      <c r="O106" s="16">
        <f t="shared" si="10"/>
        <v>0</v>
      </c>
      <c r="P106" s="18" t="str">
        <f t="shared" si="11"/>
        <v>OK</v>
      </c>
    </row>
    <row r="107" spans="1:16">
      <c r="A107" s="13">
        <v>6070</v>
      </c>
      <c r="B107" s="13" t="s">
        <v>178</v>
      </c>
      <c r="C107" s="14">
        <v>0</v>
      </c>
      <c r="D107" s="15"/>
      <c r="E107" s="15">
        <v>0</v>
      </c>
      <c r="F107" s="15"/>
      <c r="G107" s="14">
        <v>0</v>
      </c>
      <c r="H107" s="16">
        <f t="shared" si="9"/>
        <v>0</v>
      </c>
      <c r="I107" s="17" t="s">
        <v>71</v>
      </c>
      <c r="J107" s="17" t="s">
        <v>71</v>
      </c>
      <c r="K107" s="18" t="s">
        <v>175</v>
      </c>
      <c r="L107" s="16">
        <f>'COST RECONCILIATION'!D107</f>
        <v>0</v>
      </c>
      <c r="M107" s="16">
        <f>'COST RECONCILIATION'!E107</f>
        <v>0</v>
      </c>
      <c r="N107" s="16">
        <f>'COST RECONCILIATION'!F107</f>
        <v>0</v>
      </c>
      <c r="O107" s="16">
        <f t="shared" si="10"/>
        <v>0</v>
      </c>
      <c r="P107" s="18" t="str">
        <f t="shared" si="11"/>
        <v>OK</v>
      </c>
    </row>
    <row r="108" spans="1:16">
      <c r="A108" s="13">
        <v>6080</v>
      </c>
      <c r="B108" s="13" t="s">
        <v>179</v>
      </c>
      <c r="C108" s="14">
        <v>0</v>
      </c>
      <c r="D108" s="15"/>
      <c r="E108" s="15">
        <v>0</v>
      </c>
      <c r="F108" s="15"/>
      <c r="G108" s="14">
        <v>0</v>
      </c>
      <c r="H108" s="16">
        <f t="shared" si="9"/>
        <v>0</v>
      </c>
      <c r="I108" s="17" t="s">
        <v>71</v>
      </c>
      <c r="J108" s="17" t="s">
        <v>71</v>
      </c>
      <c r="K108" s="18" t="s">
        <v>175</v>
      </c>
      <c r="L108" s="16">
        <f>'COST RECONCILIATION'!D108</f>
        <v>0</v>
      </c>
      <c r="M108" s="16">
        <f>'COST RECONCILIATION'!E108</f>
        <v>0</v>
      </c>
      <c r="N108" s="16">
        <f>'COST RECONCILIATION'!F108</f>
        <v>0</v>
      </c>
      <c r="O108" s="16">
        <f t="shared" si="10"/>
        <v>0</v>
      </c>
      <c r="P108" s="18" t="str">
        <f t="shared" si="11"/>
        <v>OK</v>
      </c>
    </row>
    <row r="109" spans="1:16">
      <c r="A109" s="13">
        <v>6090</v>
      </c>
      <c r="B109" s="13" t="s">
        <v>180</v>
      </c>
      <c r="C109" s="14">
        <v>0</v>
      </c>
      <c r="D109" s="15"/>
      <c r="E109" s="15">
        <v>0</v>
      </c>
      <c r="F109" s="15"/>
      <c r="G109" s="14">
        <v>0</v>
      </c>
      <c r="H109" s="16">
        <f t="shared" si="9"/>
        <v>0</v>
      </c>
      <c r="I109" s="17" t="s">
        <v>71</v>
      </c>
      <c r="J109" s="17" t="s">
        <v>71</v>
      </c>
      <c r="K109" s="18" t="s">
        <v>175</v>
      </c>
      <c r="L109" s="16">
        <f>'COST RECONCILIATION'!D109</f>
        <v>0</v>
      </c>
      <c r="M109" s="16">
        <f>'COST RECONCILIATION'!E109</f>
        <v>0</v>
      </c>
      <c r="N109" s="16">
        <f>'COST RECONCILIATION'!F109</f>
        <v>0</v>
      </c>
      <c r="O109" s="16">
        <f t="shared" si="10"/>
        <v>0</v>
      </c>
      <c r="P109" s="18" t="str">
        <f t="shared" si="11"/>
        <v>OK</v>
      </c>
    </row>
    <row r="110" spans="1:16">
      <c r="A110" s="13">
        <v>6100</v>
      </c>
      <c r="B110" s="13" t="s">
        <v>181</v>
      </c>
      <c r="C110" s="14">
        <v>0</v>
      </c>
      <c r="D110" s="15"/>
      <c r="E110" s="15">
        <v>0</v>
      </c>
      <c r="F110" s="15"/>
      <c r="G110" s="14">
        <v>0</v>
      </c>
      <c r="H110" s="16">
        <f t="shared" si="9"/>
        <v>0</v>
      </c>
      <c r="I110" s="17" t="s">
        <v>71</v>
      </c>
      <c r="J110" s="17" t="s">
        <v>71</v>
      </c>
      <c r="K110" s="18" t="s">
        <v>175</v>
      </c>
      <c r="L110" s="16">
        <f>'COST RECONCILIATION'!D110</f>
        <v>0</v>
      </c>
      <c r="M110" s="16">
        <f>'COST RECONCILIATION'!E110</f>
        <v>0</v>
      </c>
      <c r="N110" s="16">
        <f>'COST RECONCILIATION'!F110</f>
        <v>0</v>
      </c>
      <c r="O110" s="16">
        <f t="shared" si="10"/>
        <v>0</v>
      </c>
      <c r="P110" s="18" t="str">
        <f t="shared" si="11"/>
        <v>OK</v>
      </c>
    </row>
    <row r="111" spans="1:16">
      <c r="A111" s="13">
        <v>6110</v>
      </c>
      <c r="B111" s="13" t="s">
        <v>182</v>
      </c>
      <c r="C111" s="14">
        <v>0</v>
      </c>
      <c r="D111" s="15"/>
      <c r="E111" s="15">
        <v>0</v>
      </c>
      <c r="F111" s="15"/>
      <c r="G111" s="14">
        <v>0</v>
      </c>
      <c r="H111" s="16">
        <f t="shared" si="9"/>
        <v>0</v>
      </c>
      <c r="I111" s="17" t="s">
        <v>71</v>
      </c>
      <c r="J111" s="17" t="s">
        <v>71</v>
      </c>
      <c r="K111" s="18" t="s">
        <v>175</v>
      </c>
      <c r="L111" s="16">
        <f>'COST RECONCILIATION'!D111</f>
        <v>0</v>
      </c>
      <c r="M111" s="16">
        <f>'COST RECONCILIATION'!E111</f>
        <v>0</v>
      </c>
      <c r="N111" s="16">
        <f>'COST RECONCILIATION'!F111</f>
        <v>0</v>
      </c>
      <c r="O111" s="16">
        <f t="shared" si="10"/>
        <v>0</v>
      </c>
      <c r="P111" s="18" t="str">
        <f t="shared" si="11"/>
        <v>OK</v>
      </c>
    </row>
    <row r="112" spans="1:16">
      <c r="A112" s="13">
        <v>7025</v>
      </c>
      <c r="B112" s="13" t="s">
        <v>183</v>
      </c>
      <c r="C112" s="14">
        <v>0</v>
      </c>
      <c r="D112" s="15"/>
      <c r="E112" s="15">
        <v>0</v>
      </c>
      <c r="F112" s="15"/>
      <c r="G112" s="14">
        <v>0</v>
      </c>
      <c r="H112" s="16">
        <f t="shared" si="9"/>
        <v>0</v>
      </c>
      <c r="I112" s="17" t="s">
        <v>71</v>
      </c>
      <c r="J112" s="17" t="s">
        <v>71</v>
      </c>
      <c r="K112" s="18" t="s">
        <v>184</v>
      </c>
      <c r="L112" s="16">
        <f>'COST RECONCILIATION'!D112</f>
        <v>0</v>
      </c>
      <c r="M112" s="16">
        <f>'COST RECONCILIATION'!E112</f>
        <v>0</v>
      </c>
      <c r="N112" s="16">
        <f>'COST RECONCILIATION'!F112</f>
        <v>0</v>
      </c>
      <c r="O112" s="16">
        <f t="shared" si="10"/>
        <v>0</v>
      </c>
      <c r="P112" s="18" t="str">
        <f t="shared" si="11"/>
        <v>OK</v>
      </c>
    </row>
    <row r="113" spans="1:16">
      <c r="A113" s="13">
        <v>7050</v>
      </c>
      <c r="B113" s="13" t="s">
        <v>185</v>
      </c>
      <c r="C113" s="14">
        <v>0</v>
      </c>
      <c r="D113" s="15"/>
      <c r="E113" s="15">
        <v>0</v>
      </c>
      <c r="F113" s="15"/>
      <c r="G113" s="14">
        <v>0</v>
      </c>
      <c r="H113" s="16">
        <f t="shared" si="9"/>
        <v>0</v>
      </c>
      <c r="I113" s="17" t="s">
        <v>71</v>
      </c>
      <c r="J113" s="17" t="s">
        <v>71</v>
      </c>
      <c r="K113" s="18" t="s">
        <v>184</v>
      </c>
      <c r="L113" s="16">
        <f>'COST RECONCILIATION'!D113</f>
        <v>0</v>
      </c>
      <c r="M113" s="16">
        <f>'COST RECONCILIATION'!E113</f>
        <v>0</v>
      </c>
      <c r="N113" s="16">
        <f>'COST RECONCILIATION'!F113</f>
        <v>0</v>
      </c>
      <c r="O113" s="16">
        <f t="shared" si="10"/>
        <v>0</v>
      </c>
      <c r="P113" s="18" t="str">
        <f t="shared" si="11"/>
        <v>OK</v>
      </c>
    </row>
    <row r="114" spans="1:16">
      <c r="A114" s="13">
        <v>7055</v>
      </c>
      <c r="B114" s="13" t="s">
        <v>186</v>
      </c>
      <c r="C114" s="14">
        <v>0</v>
      </c>
      <c r="D114" s="15"/>
      <c r="E114" s="15">
        <v>0</v>
      </c>
      <c r="F114" s="15"/>
      <c r="G114" s="14">
        <v>0</v>
      </c>
      <c r="H114" s="16">
        <f t="shared" si="9"/>
        <v>0</v>
      </c>
      <c r="I114" s="17" t="s">
        <v>71</v>
      </c>
      <c r="J114" s="17" t="s">
        <v>71</v>
      </c>
      <c r="K114" s="18" t="s">
        <v>184</v>
      </c>
      <c r="L114" s="16">
        <f>'COST RECONCILIATION'!D114</f>
        <v>0</v>
      </c>
      <c r="M114" s="16">
        <f>'COST RECONCILIATION'!E114</f>
        <v>0</v>
      </c>
      <c r="N114" s="16">
        <f>'COST RECONCILIATION'!F114</f>
        <v>0</v>
      </c>
      <c r="O114" s="16">
        <f t="shared" si="10"/>
        <v>0</v>
      </c>
      <c r="P114" s="18" t="str">
        <f t="shared" si="11"/>
        <v>OK</v>
      </c>
    </row>
    <row r="115" spans="1:16">
      <c r="A115" s="13">
        <v>7060</v>
      </c>
      <c r="B115" s="13" t="s">
        <v>187</v>
      </c>
      <c r="C115" s="14">
        <v>0</v>
      </c>
      <c r="D115" s="15"/>
      <c r="E115" s="15">
        <v>0</v>
      </c>
      <c r="F115" s="15"/>
      <c r="G115" s="14">
        <v>0</v>
      </c>
      <c r="H115" s="16">
        <f t="shared" si="9"/>
        <v>0</v>
      </c>
      <c r="I115" s="17" t="s">
        <v>71</v>
      </c>
      <c r="J115" s="17" t="s">
        <v>71</v>
      </c>
      <c r="K115" s="18" t="s">
        <v>184</v>
      </c>
      <c r="L115" s="16">
        <f>'COST RECONCILIATION'!D115</f>
        <v>0</v>
      </c>
      <c r="M115" s="16">
        <f>'COST RECONCILIATION'!E115</f>
        <v>0</v>
      </c>
      <c r="N115" s="16">
        <f>'COST RECONCILIATION'!F115</f>
        <v>0</v>
      </c>
      <c r="O115" s="16">
        <f t="shared" si="10"/>
        <v>0</v>
      </c>
      <c r="P115" s="18" t="str">
        <f t="shared" si="11"/>
        <v>OK</v>
      </c>
    </row>
    <row r="116" spans="1:16">
      <c r="A116" s="13">
        <v>7080</v>
      </c>
      <c r="B116" s="13" t="s">
        <v>188</v>
      </c>
      <c r="C116" s="14">
        <v>0</v>
      </c>
      <c r="D116" s="15"/>
      <c r="E116" s="15">
        <v>0</v>
      </c>
      <c r="F116" s="15"/>
      <c r="G116" s="14">
        <v>0</v>
      </c>
      <c r="H116" s="16">
        <f t="shared" si="9"/>
        <v>0</v>
      </c>
      <c r="I116" s="17" t="s">
        <v>71</v>
      </c>
      <c r="J116" s="17" t="s">
        <v>71</v>
      </c>
      <c r="K116" s="18" t="s">
        <v>184</v>
      </c>
      <c r="L116" s="16">
        <f>'COST RECONCILIATION'!D116</f>
        <v>0</v>
      </c>
      <c r="M116" s="16">
        <f>'COST RECONCILIATION'!E116</f>
        <v>0</v>
      </c>
      <c r="N116" s="16">
        <f>'COST RECONCILIATION'!F116</f>
        <v>0</v>
      </c>
      <c r="O116" s="16">
        <f t="shared" si="10"/>
        <v>0</v>
      </c>
      <c r="P116" s="18" t="str">
        <f t="shared" si="11"/>
        <v>OK</v>
      </c>
    </row>
    <row r="117" spans="1:16">
      <c r="A117" s="13">
        <v>7082</v>
      </c>
      <c r="B117" s="13" t="s">
        <v>189</v>
      </c>
      <c r="C117" s="14">
        <v>0</v>
      </c>
      <c r="D117" s="15"/>
      <c r="E117" s="15">
        <v>0</v>
      </c>
      <c r="F117" s="15"/>
      <c r="G117" s="14">
        <v>0</v>
      </c>
      <c r="H117" s="16">
        <f t="shared" si="9"/>
        <v>0</v>
      </c>
      <c r="I117" s="17" t="s">
        <v>71</v>
      </c>
      <c r="J117" s="17" t="s">
        <v>190</v>
      </c>
      <c r="K117" s="18" t="s">
        <v>184</v>
      </c>
      <c r="L117" s="16">
        <f>'COST RECONCILIATION'!D117</f>
        <v>0</v>
      </c>
      <c r="M117" s="16">
        <f>'COST RECONCILIATION'!E117</f>
        <v>0</v>
      </c>
      <c r="N117" s="16">
        <f>'COST RECONCILIATION'!F117</f>
        <v>0</v>
      </c>
      <c r="O117" s="16">
        <f t="shared" si="10"/>
        <v>0</v>
      </c>
      <c r="P117" s="18" t="str">
        <f t="shared" si="11"/>
        <v>EXCLUDED</v>
      </c>
    </row>
    <row r="118" spans="1:16">
      <c r="A118" s="13">
        <v>9999</v>
      </c>
      <c r="B118" s="13" t="s">
        <v>191</v>
      </c>
      <c r="C118" s="14">
        <v>0</v>
      </c>
      <c r="D118" s="15"/>
      <c r="E118" s="15">
        <v>0</v>
      </c>
      <c r="F118" s="15"/>
      <c r="G118" s="14">
        <v>0</v>
      </c>
      <c r="H118" s="16">
        <f t="shared" si="9"/>
        <v>0</v>
      </c>
      <c r="I118" s="17" t="s">
        <v>71</v>
      </c>
      <c r="J118" s="17" t="s">
        <v>190</v>
      </c>
      <c r="K118" s="18" t="s">
        <v>184</v>
      </c>
      <c r="L118" s="16">
        <f>'COST RECONCILIATION'!D118</f>
        <v>0</v>
      </c>
      <c r="M118" s="16">
        <f>'COST RECONCILIATION'!E118</f>
        <v>0</v>
      </c>
      <c r="N118" s="16">
        <f>'COST RECONCILIATION'!F118</f>
        <v>0</v>
      </c>
      <c r="O118" s="16">
        <f t="shared" si="10"/>
        <v>0</v>
      </c>
      <c r="P118" s="18" t="str">
        <f t="shared" si="11"/>
        <v>EXCLUDED</v>
      </c>
    </row>
    <row r="119" spans="1:16">
      <c r="A119" s="1"/>
      <c r="B119" s="1"/>
      <c r="C119" s="1"/>
      <c r="D119" s="1"/>
      <c r="E119" s="1"/>
      <c r="F119" s="1"/>
      <c r="G119" s="1"/>
      <c r="H119" s="1"/>
      <c r="I119" s="1"/>
      <c r="J119" s="1"/>
      <c r="K119" s="1"/>
      <c r="L119" s="1"/>
      <c r="M119" s="1"/>
      <c r="N119" s="1"/>
      <c r="O119" s="1"/>
      <c r="P119" s="1"/>
    </row>
    <row r="120" spans="1:16">
      <c r="A120" s="1"/>
      <c r="B120" s="1"/>
      <c r="C120" s="1"/>
      <c r="D120" s="1"/>
      <c r="E120" s="1"/>
      <c r="F120" s="49" t="s">
        <v>192</v>
      </c>
      <c r="G120" s="49"/>
      <c r="H120" s="19">
        <f>SUMIF(J6:J118,"Yes",H6:H118)</f>
        <v>0</v>
      </c>
      <c r="I120" s="1"/>
      <c r="J120" s="1"/>
      <c r="K120" s="1"/>
      <c r="L120" s="1"/>
      <c r="M120" s="1"/>
      <c r="N120" s="1"/>
      <c r="O120" s="1"/>
      <c r="P120" s="1"/>
    </row>
    <row r="121" spans="1:16">
      <c r="A121" s="1"/>
      <c r="B121" s="1"/>
      <c r="C121" s="1"/>
      <c r="D121" s="1"/>
      <c r="E121" s="1"/>
      <c r="F121" s="49" t="s">
        <v>193</v>
      </c>
      <c r="G121" s="49"/>
      <c r="H121" s="19">
        <f>H120*'Project Setup'!B18</f>
        <v>0</v>
      </c>
      <c r="I121" s="1"/>
      <c r="J121" s="1"/>
      <c r="K121" s="1"/>
      <c r="L121" s="1"/>
      <c r="M121" s="1"/>
      <c r="N121" s="1"/>
      <c r="O121" s="1"/>
      <c r="P121" s="1"/>
    </row>
    <row r="122" spans="1:16">
      <c r="A122" s="1"/>
      <c r="B122" s="1"/>
      <c r="C122" s="1"/>
      <c r="D122" s="1"/>
      <c r="E122" s="1"/>
      <c r="F122" s="49" t="s">
        <v>194</v>
      </c>
      <c r="G122" s="49"/>
      <c r="H122" s="20">
        <f>H120+H121</f>
        <v>0</v>
      </c>
      <c r="I122" s="1"/>
      <c r="J122" s="1"/>
      <c r="K122" s="1"/>
      <c r="L122" s="1"/>
      <c r="M122" s="1"/>
      <c r="N122" s="1"/>
      <c r="O122" s="1"/>
      <c r="P122" s="1"/>
    </row>
  </sheetData>
  <mergeCells count="5">
    <mergeCell ref="A1:P2"/>
    <mergeCell ref="A3:P3"/>
    <mergeCell ref="F120:G120"/>
    <mergeCell ref="F121:G121"/>
    <mergeCell ref="F122:G122"/>
  </mergeCells>
  <conditionalFormatting sqref="P6:P118">
    <cfRule type="containsText" dxfId="2" priority="1" operator="containsText" text="OVER BUDGET"/>
  </conditionalFormatting>
  <dataValidations count="1">
    <dataValidation type="list" sqref="I6:J118" xr:uid="{00000000-0002-0000-0200-000000000000}">
      <formula1>"Yes,No"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10"/>
  <sheetViews>
    <sheetView showGridLines="0" workbookViewId="0">
      <selection activeCell="A6" sqref="A6"/>
    </sheetView>
  </sheetViews>
  <sheetFormatPr defaultRowHeight="13.8"/>
  <cols>
    <col min="1" max="2" width="5" customWidth="1"/>
    <col min="3" max="3" width="40" customWidth="1"/>
    <col min="4" max="4" width="16" customWidth="1"/>
    <col min="5" max="5" width="5" customWidth="1"/>
    <col min="6" max="6" width="16" customWidth="1"/>
    <col min="7" max="7" width="5" customWidth="1"/>
    <col min="8" max="9" width="16" customWidth="1"/>
  </cols>
  <sheetData>
    <row r="1" spans="1:9">
      <c r="A1" s="48" t="s">
        <v>195</v>
      </c>
      <c r="B1" s="48"/>
      <c r="C1" s="48"/>
      <c r="D1" s="48"/>
      <c r="E1" s="48"/>
      <c r="F1" s="48"/>
      <c r="G1" s="48"/>
      <c r="H1" s="48"/>
      <c r="I1" s="48"/>
    </row>
    <row r="2" spans="1:9">
      <c r="A2" s="48"/>
      <c r="B2" s="48"/>
      <c r="C2" s="48"/>
      <c r="D2" s="48"/>
      <c r="E2" s="48"/>
      <c r="F2" s="48"/>
      <c r="G2" s="48"/>
      <c r="H2" s="48"/>
      <c r="I2" s="48"/>
    </row>
    <row r="3" spans="1:9">
      <c r="A3" s="50" t="s">
        <v>196</v>
      </c>
      <c r="B3" s="50"/>
      <c r="C3" s="50"/>
      <c r="D3" s="50"/>
      <c r="E3" s="50"/>
      <c r="F3" s="50"/>
      <c r="G3" s="50"/>
      <c r="H3" s="50"/>
      <c r="I3" s="50"/>
    </row>
    <row r="4" spans="1:9">
      <c r="A4" s="50"/>
      <c r="B4" s="50"/>
      <c r="C4" s="50"/>
      <c r="D4" s="50"/>
      <c r="E4" s="50"/>
      <c r="F4" s="50"/>
      <c r="G4" s="50"/>
      <c r="H4" s="50"/>
      <c r="I4" s="50"/>
    </row>
    <row r="5" spans="1:9">
      <c r="A5" s="1"/>
      <c r="B5" s="1"/>
      <c r="C5" s="1"/>
      <c r="D5" s="1"/>
      <c r="E5" s="1"/>
      <c r="F5" s="1"/>
      <c r="G5" s="1"/>
      <c r="H5" s="1"/>
      <c r="I5" s="21" t="s">
        <v>197</v>
      </c>
    </row>
    <row r="6" spans="1:9">
      <c r="A6" s="22"/>
      <c r="B6" s="22"/>
      <c r="C6" s="22"/>
      <c r="D6" s="23"/>
      <c r="E6" s="23"/>
      <c r="F6" s="23"/>
      <c r="G6" s="23"/>
      <c r="H6" s="23"/>
      <c r="I6" s="18">
        <f t="shared" ref="I6:I69" si="0">IFERROR(VALUE(LEFT(TRIM(C6),4)),0)</f>
        <v>0</v>
      </c>
    </row>
    <row r="7" spans="1:9">
      <c r="A7" s="22"/>
      <c r="B7" s="22"/>
      <c r="C7" s="22"/>
      <c r="D7" s="23"/>
      <c r="E7" s="23"/>
      <c r="F7" s="23"/>
      <c r="G7" s="23"/>
      <c r="H7" s="23"/>
      <c r="I7" s="18">
        <f t="shared" si="0"/>
        <v>0</v>
      </c>
    </row>
    <row r="8" spans="1:9">
      <c r="A8" s="22"/>
      <c r="B8" s="22"/>
      <c r="C8" s="22"/>
      <c r="D8" s="23"/>
      <c r="E8" s="23"/>
      <c r="F8" s="23"/>
      <c r="G8" s="23"/>
      <c r="H8" s="23"/>
      <c r="I8" s="18">
        <f t="shared" si="0"/>
        <v>0</v>
      </c>
    </row>
    <row r="9" spans="1:9">
      <c r="A9" s="22"/>
      <c r="B9" s="22"/>
      <c r="C9" s="22"/>
      <c r="D9" s="23"/>
      <c r="E9" s="23"/>
      <c r="F9" s="23"/>
      <c r="G9" s="23"/>
      <c r="H9" s="23"/>
      <c r="I9" s="18">
        <f t="shared" si="0"/>
        <v>0</v>
      </c>
    </row>
    <row r="10" spans="1:9">
      <c r="A10" s="22"/>
      <c r="B10" s="22"/>
      <c r="C10" s="22"/>
      <c r="D10" s="23"/>
      <c r="E10" s="23"/>
      <c r="F10" s="23"/>
      <c r="G10" s="23"/>
      <c r="H10" s="23"/>
      <c r="I10" s="18">
        <f t="shared" si="0"/>
        <v>0</v>
      </c>
    </row>
    <row r="11" spans="1:9">
      <c r="A11" s="22"/>
      <c r="B11" s="22"/>
      <c r="C11" s="22"/>
      <c r="D11" s="23"/>
      <c r="E11" s="23"/>
      <c r="F11" s="23"/>
      <c r="G11" s="23"/>
      <c r="H11" s="23"/>
      <c r="I11" s="18">
        <f t="shared" si="0"/>
        <v>0</v>
      </c>
    </row>
    <row r="12" spans="1:9">
      <c r="A12" s="22"/>
      <c r="B12" s="22"/>
      <c r="C12" s="22"/>
      <c r="D12" s="23"/>
      <c r="E12" s="23"/>
      <c r="F12" s="23"/>
      <c r="G12" s="23"/>
      <c r="H12" s="23"/>
      <c r="I12" s="18">
        <f t="shared" si="0"/>
        <v>0</v>
      </c>
    </row>
    <row r="13" spans="1:9">
      <c r="A13" s="22"/>
      <c r="B13" s="22"/>
      <c r="C13" s="22"/>
      <c r="D13" s="23"/>
      <c r="E13" s="23"/>
      <c r="F13" s="23"/>
      <c r="G13" s="23"/>
      <c r="H13" s="23"/>
      <c r="I13" s="18">
        <f t="shared" si="0"/>
        <v>0</v>
      </c>
    </row>
    <row r="14" spans="1:9">
      <c r="A14" s="22"/>
      <c r="B14" s="22"/>
      <c r="C14" s="22"/>
      <c r="D14" s="23"/>
      <c r="E14" s="23"/>
      <c r="F14" s="23"/>
      <c r="G14" s="23"/>
      <c r="H14" s="23"/>
      <c r="I14" s="18">
        <f t="shared" si="0"/>
        <v>0</v>
      </c>
    </row>
    <row r="15" spans="1:9">
      <c r="A15" s="22"/>
      <c r="B15" s="22"/>
      <c r="C15" s="22"/>
      <c r="D15" s="23"/>
      <c r="E15" s="23"/>
      <c r="F15" s="23"/>
      <c r="G15" s="23"/>
      <c r="H15" s="23"/>
      <c r="I15" s="18">
        <f t="shared" si="0"/>
        <v>0</v>
      </c>
    </row>
    <row r="16" spans="1:9">
      <c r="A16" s="22"/>
      <c r="B16" s="22"/>
      <c r="C16" s="22"/>
      <c r="D16" s="23"/>
      <c r="E16" s="23"/>
      <c r="F16" s="23"/>
      <c r="G16" s="23"/>
      <c r="H16" s="23"/>
      <c r="I16" s="18">
        <f t="shared" si="0"/>
        <v>0</v>
      </c>
    </row>
    <row r="17" spans="1:9">
      <c r="A17" s="22"/>
      <c r="B17" s="22"/>
      <c r="C17" s="22"/>
      <c r="D17" s="23"/>
      <c r="E17" s="23"/>
      <c r="F17" s="23"/>
      <c r="G17" s="23"/>
      <c r="H17" s="23"/>
      <c r="I17" s="18">
        <f t="shared" si="0"/>
        <v>0</v>
      </c>
    </row>
    <row r="18" spans="1:9">
      <c r="A18" s="22"/>
      <c r="B18" s="22"/>
      <c r="C18" s="22"/>
      <c r="D18" s="23"/>
      <c r="E18" s="23"/>
      <c r="F18" s="23"/>
      <c r="G18" s="23"/>
      <c r="H18" s="23"/>
      <c r="I18" s="18">
        <f t="shared" si="0"/>
        <v>0</v>
      </c>
    </row>
    <row r="19" spans="1:9">
      <c r="A19" s="22"/>
      <c r="B19" s="22"/>
      <c r="C19" s="22"/>
      <c r="D19" s="23"/>
      <c r="E19" s="23"/>
      <c r="F19" s="23"/>
      <c r="G19" s="23"/>
      <c r="H19" s="23"/>
      <c r="I19" s="18">
        <f t="shared" si="0"/>
        <v>0</v>
      </c>
    </row>
    <row r="20" spans="1:9">
      <c r="A20" s="22"/>
      <c r="B20" s="22"/>
      <c r="C20" s="22"/>
      <c r="D20" s="23"/>
      <c r="E20" s="23"/>
      <c r="F20" s="23"/>
      <c r="G20" s="23"/>
      <c r="H20" s="23"/>
      <c r="I20" s="18">
        <f t="shared" si="0"/>
        <v>0</v>
      </c>
    </row>
    <row r="21" spans="1:9">
      <c r="A21" s="22"/>
      <c r="B21" s="22"/>
      <c r="C21" s="22"/>
      <c r="D21" s="23"/>
      <c r="E21" s="23"/>
      <c r="F21" s="23"/>
      <c r="G21" s="23"/>
      <c r="H21" s="23"/>
      <c r="I21" s="18">
        <f t="shared" si="0"/>
        <v>0</v>
      </c>
    </row>
    <row r="22" spans="1:9">
      <c r="A22" s="22"/>
      <c r="B22" s="22"/>
      <c r="C22" s="22"/>
      <c r="D22" s="23"/>
      <c r="E22" s="23"/>
      <c r="F22" s="23"/>
      <c r="G22" s="23"/>
      <c r="H22" s="23"/>
      <c r="I22" s="18">
        <f t="shared" si="0"/>
        <v>0</v>
      </c>
    </row>
    <row r="23" spans="1:9">
      <c r="A23" s="22"/>
      <c r="B23" s="22"/>
      <c r="C23" s="22"/>
      <c r="D23" s="23"/>
      <c r="E23" s="23"/>
      <c r="F23" s="23"/>
      <c r="G23" s="23"/>
      <c r="H23" s="23"/>
      <c r="I23" s="18">
        <f t="shared" si="0"/>
        <v>0</v>
      </c>
    </row>
    <row r="24" spans="1:9">
      <c r="A24" s="22"/>
      <c r="B24" s="22"/>
      <c r="C24" s="22"/>
      <c r="D24" s="23"/>
      <c r="E24" s="23"/>
      <c r="F24" s="23"/>
      <c r="G24" s="23"/>
      <c r="H24" s="23"/>
      <c r="I24" s="18">
        <f t="shared" si="0"/>
        <v>0</v>
      </c>
    </row>
    <row r="25" spans="1:9">
      <c r="A25" s="22"/>
      <c r="B25" s="22"/>
      <c r="C25" s="22"/>
      <c r="D25" s="23"/>
      <c r="E25" s="23"/>
      <c r="F25" s="23"/>
      <c r="G25" s="23"/>
      <c r="H25" s="23"/>
      <c r="I25" s="18">
        <f t="shared" si="0"/>
        <v>0</v>
      </c>
    </row>
    <row r="26" spans="1:9">
      <c r="A26" s="22"/>
      <c r="B26" s="22"/>
      <c r="C26" s="22"/>
      <c r="D26" s="23"/>
      <c r="E26" s="23"/>
      <c r="F26" s="23"/>
      <c r="G26" s="23"/>
      <c r="H26" s="23"/>
      <c r="I26" s="18">
        <f t="shared" si="0"/>
        <v>0</v>
      </c>
    </row>
    <row r="27" spans="1:9">
      <c r="A27" s="22"/>
      <c r="B27" s="22"/>
      <c r="C27" s="22"/>
      <c r="D27" s="23"/>
      <c r="E27" s="23"/>
      <c r="F27" s="23"/>
      <c r="G27" s="23"/>
      <c r="H27" s="23"/>
      <c r="I27" s="18">
        <f t="shared" si="0"/>
        <v>0</v>
      </c>
    </row>
    <row r="28" spans="1:9">
      <c r="A28" s="22"/>
      <c r="B28" s="22"/>
      <c r="C28" s="22"/>
      <c r="D28" s="23"/>
      <c r="E28" s="23"/>
      <c r="F28" s="23"/>
      <c r="G28" s="23"/>
      <c r="H28" s="23"/>
      <c r="I28" s="18">
        <f t="shared" si="0"/>
        <v>0</v>
      </c>
    </row>
    <row r="29" spans="1:9">
      <c r="A29" s="22"/>
      <c r="B29" s="22"/>
      <c r="C29" s="22"/>
      <c r="D29" s="23"/>
      <c r="E29" s="23"/>
      <c r="F29" s="23"/>
      <c r="G29" s="23"/>
      <c r="H29" s="23"/>
      <c r="I29" s="18">
        <f t="shared" si="0"/>
        <v>0</v>
      </c>
    </row>
    <row r="30" spans="1:9">
      <c r="A30" s="22"/>
      <c r="B30" s="22"/>
      <c r="C30" s="22"/>
      <c r="D30" s="23"/>
      <c r="E30" s="23"/>
      <c r="F30" s="23"/>
      <c r="G30" s="23"/>
      <c r="H30" s="23"/>
      <c r="I30" s="18">
        <f t="shared" si="0"/>
        <v>0</v>
      </c>
    </row>
    <row r="31" spans="1:9">
      <c r="A31" s="22"/>
      <c r="B31" s="22"/>
      <c r="C31" s="22"/>
      <c r="D31" s="23"/>
      <c r="E31" s="23"/>
      <c r="F31" s="23"/>
      <c r="G31" s="23"/>
      <c r="H31" s="23"/>
      <c r="I31" s="18">
        <f t="shared" si="0"/>
        <v>0</v>
      </c>
    </row>
    <row r="32" spans="1:9">
      <c r="A32" s="22"/>
      <c r="B32" s="22"/>
      <c r="C32" s="22"/>
      <c r="D32" s="23"/>
      <c r="E32" s="23"/>
      <c r="F32" s="23"/>
      <c r="G32" s="23"/>
      <c r="H32" s="23"/>
      <c r="I32" s="18">
        <f t="shared" si="0"/>
        <v>0</v>
      </c>
    </row>
    <row r="33" spans="1:9">
      <c r="A33" s="22"/>
      <c r="B33" s="22"/>
      <c r="C33" s="22"/>
      <c r="D33" s="23"/>
      <c r="E33" s="23"/>
      <c r="F33" s="23"/>
      <c r="G33" s="23"/>
      <c r="H33" s="23"/>
      <c r="I33" s="18">
        <f t="shared" si="0"/>
        <v>0</v>
      </c>
    </row>
    <row r="34" spans="1:9">
      <c r="A34" s="22"/>
      <c r="B34" s="22"/>
      <c r="C34" s="22"/>
      <c r="D34" s="23"/>
      <c r="E34" s="23"/>
      <c r="F34" s="23"/>
      <c r="G34" s="23"/>
      <c r="H34" s="23"/>
      <c r="I34" s="18">
        <f t="shared" si="0"/>
        <v>0</v>
      </c>
    </row>
    <row r="35" spans="1:9">
      <c r="A35" s="22"/>
      <c r="B35" s="22"/>
      <c r="C35" s="22"/>
      <c r="D35" s="23"/>
      <c r="E35" s="23"/>
      <c r="F35" s="23"/>
      <c r="G35" s="23"/>
      <c r="H35" s="23"/>
      <c r="I35" s="18">
        <f t="shared" si="0"/>
        <v>0</v>
      </c>
    </row>
    <row r="36" spans="1:9">
      <c r="A36" s="22"/>
      <c r="B36" s="22"/>
      <c r="C36" s="22"/>
      <c r="D36" s="23"/>
      <c r="E36" s="23"/>
      <c r="F36" s="23"/>
      <c r="G36" s="23"/>
      <c r="H36" s="23"/>
      <c r="I36" s="18">
        <f t="shared" si="0"/>
        <v>0</v>
      </c>
    </row>
    <row r="37" spans="1:9">
      <c r="A37" s="22"/>
      <c r="B37" s="22"/>
      <c r="C37" s="22"/>
      <c r="D37" s="23"/>
      <c r="E37" s="23"/>
      <c r="F37" s="23"/>
      <c r="G37" s="23"/>
      <c r="H37" s="23"/>
      <c r="I37" s="18">
        <f t="shared" si="0"/>
        <v>0</v>
      </c>
    </row>
    <row r="38" spans="1:9">
      <c r="A38" s="22"/>
      <c r="B38" s="22"/>
      <c r="C38" s="22"/>
      <c r="D38" s="23"/>
      <c r="E38" s="23"/>
      <c r="F38" s="23"/>
      <c r="G38" s="23"/>
      <c r="H38" s="23"/>
      <c r="I38" s="18">
        <f t="shared" si="0"/>
        <v>0</v>
      </c>
    </row>
    <row r="39" spans="1:9">
      <c r="A39" s="22"/>
      <c r="B39" s="22"/>
      <c r="C39" s="22"/>
      <c r="D39" s="23"/>
      <c r="E39" s="23"/>
      <c r="F39" s="23"/>
      <c r="G39" s="23"/>
      <c r="H39" s="23"/>
      <c r="I39" s="18">
        <f t="shared" si="0"/>
        <v>0</v>
      </c>
    </row>
    <row r="40" spans="1:9">
      <c r="A40" s="22"/>
      <c r="B40" s="22"/>
      <c r="C40" s="22"/>
      <c r="D40" s="23"/>
      <c r="E40" s="23"/>
      <c r="F40" s="23"/>
      <c r="G40" s="23"/>
      <c r="H40" s="23"/>
      <c r="I40" s="18">
        <f t="shared" si="0"/>
        <v>0</v>
      </c>
    </row>
    <row r="41" spans="1:9">
      <c r="A41" s="22"/>
      <c r="B41" s="22"/>
      <c r="C41" s="22"/>
      <c r="D41" s="23"/>
      <c r="E41" s="23"/>
      <c r="F41" s="23"/>
      <c r="G41" s="23"/>
      <c r="H41" s="23"/>
      <c r="I41" s="18">
        <f t="shared" si="0"/>
        <v>0</v>
      </c>
    </row>
    <row r="42" spans="1:9">
      <c r="A42" s="22"/>
      <c r="B42" s="22"/>
      <c r="C42" s="22"/>
      <c r="D42" s="23"/>
      <c r="E42" s="23"/>
      <c r="F42" s="23"/>
      <c r="G42" s="23"/>
      <c r="H42" s="23"/>
      <c r="I42" s="18">
        <f t="shared" si="0"/>
        <v>0</v>
      </c>
    </row>
    <row r="43" spans="1:9">
      <c r="A43" s="22"/>
      <c r="B43" s="22"/>
      <c r="C43" s="22"/>
      <c r="D43" s="23"/>
      <c r="E43" s="23"/>
      <c r="F43" s="23"/>
      <c r="G43" s="23"/>
      <c r="H43" s="23"/>
      <c r="I43" s="18">
        <f t="shared" si="0"/>
        <v>0</v>
      </c>
    </row>
    <row r="44" spans="1:9">
      <c r="A44" s="22"/>
      <c r="B44" s="22"/>
      <c r="C44" s="22"/>
      <c r="D44" s="23"/>
      <c r="E44" s="23"/>
      <c r="F44" s="23"/>
      <c r="G44" s="23"/>
      <c r="H44" s="23"/>
      <c r="I44" s="18">
        <f t="shared" si="0"/>
        <v>0</v>
      </c>
    </row>
    <row r="45" spans="1:9">
      <c r="A45" s="22"/>
      <c r="B45" s="22"/>
      <c r="C45" s="22"/>
      <c r="D45" s="23"/>
      <c r="E45" s="23"/>
      <c r="F45" s="23"/>
      <c r="G45" s="23"/>
      <c r="H45" s="23"/>
      <c r="I45" s="18">
        <f t="shared" si="0"/>
        <v>0</v>
      </c>
    </row>
    <row r="46" spans="1:9">
      <c r="A46" s="22"/>
      <c r="B46" s="22"/>
      <c r="C46" s="22"/>
      <c r="D46" s="23"/>
      <c r="E46" s="23"/>
      <c r="F46" s="23"/>
      <c r="G46" s="23"/>
      <c r="H46" s="23"/>
      <c r="I46" s="18">
        <f t="shared" si="0"/>
        <v>0</v>
      </c>
    </row>
    <row r="47" spans="1:9">
      <c r="A47" s="22"/>
      <c r="B47" s="22"/>
      <c r="C47" s="22"/>
      <c r="D47" s="23"/>
      <c r="E47" s="23"/>
      <c r="F47" s="23"/>
      <c r="G47" s="23"/>
      <c r="H47" s="23"/>
      <c r="I47" s="18">
        <f t="shared" si="0"/>
        <v>0</v>
      </c>
    </row>
    <row r="48" spans="1:9">
      <c r="A48" s="22"/>
      <c r="B48" s="22"/>
      <c r="C48" s="22"/>
      <c r="D48" s="23"/>
      <c r="E48" s="23"/>
      <c r="F48" s="23"/>
      <c r="G48" s="23"/>
      <c r="H48" s="23"/>
      <c r="I48" s="18">
        <f t="shared" si="0"/>
        <v>0</v>
      </c>
    </row>
    <row r="49" spans="1:9">
      <c r="A49" s="22"/>
      <c r="B49" s="22"/>
      <c r="C49" s="22"/>
      <c r="D49" s="23"/>
      <c r="E49" s="23"/>
      <c r="F49" s="23"/>
      <c r="G49" s="23"/>
      <c r="H49" s="23"/>
      <c r="I49" s="18">
        <f t="shared" si="0"/>
        <v>0</v>
      </c>
    </row>
    <row r="50" spans="1:9">
      <c r="A50" s="22"/>
      <c r="B50" s="22"/>
      <c r="C50" s="22"/>
      <c r="D50" s="23"/>
      <c r="E50" s="23"/>
      <c r="F50" s="23"/>
      <c r="G50" s="23"/>
      <c r="H50" s="23"/>
      <c r="I50" s="18">
        <f t="shared" si="0"/>
        <v>0</v>
      </c>
    </row>
    <row r="51" spans="1:9">
      <c r="A51" s="22"/>
      <c r="B51" s="22"/>
      <c r="C51" s="22"/>
      <c r="D51" s="23"/>
      <c r="E51" s="23"/>
      <c r="F51" s="23"/>
      <c r="G51" s="23"/>
      <c r="H51" s="23"/>
      <c r="I51" s="18">
        <f t="shared" si="0"/>
        <v>0</v>
      </c>
    </row>
    <row r="52" spans="1:9">
      <c r="A52" s="22"/>
      <c r="B52" s="22"/>
      <c r="C52" s="22"/>
      <c r="D52" s="23"/>
      <c r="E52" s="23"/>
      <c r="F52" s="23"/>
      <c r="G52" s="23"/>
      <c r="H52" s="23"/>
      <c r="I52" s="18">
        <f t="shared" si="0"/>
        <v>0</v>
      </c>
    </row>
    <row r="53" spans="1:9">
      <c r="A53" s="22"/>
      <c r="B53" s="22"/>
      <c r="C53" s="22"/>
      <c r="D53" s="23"/>
      <c r="E53" s="23"/>
      <c r="F53" s="23"/>
      <c r="G53" s="23"/>
      <c r="H53" s="23"/>
      <c r="I53" s="18">
        <f t="shared" si="0"/>
        <v>0</v>
      </c>
    </row>
    <row r="54" spans="1:9">
      <c r="A54" s="22"/>
      <c r="B54" s="22"/>
      <c r="C54" s="22"/>
      <c r="D54" s="23"/>
      <c r="E54" s="23"/>
      <c r="F54" s="23"/>
      <c r="G54" s="23"/>
      <c r="H54" s="23"/>
      <c r="I54" s="18">
        <f t="shared" si="0"/>
        <v>0</v>
      </c>
    </row>
    <row r="55" spans="1:9">
      <c r="A55" s="22"/>
      <c r="B55" s="22"/>
      <c r="C55" s="22"/>
      <c r="D55" s="23"/>
      <c r="E55" s="23"/>
      <c r="F55" s="23"/>
      <c r="G55" s="23"/>
      <c r="H55" s="23"/>
      <c r="I55" s="18">
        <f t="shared" si="0"/>
        <v>0</v>
      </c>
    </row>
    <row r="56" spans="1:9">
      <c r="A56" s="22"/>
      <c r="B56" s="22"/>
      <c r="C56" s="22"/>
      <c r="D56" s="23"/>
      <c r="E56" s="23"/>
      <c r="F56" s="23"/>
      <c r="G56" s="23"/>
      <c r="H56" s="23"/>
      <c r="I56" s="18">
        <f t="shared" si="0"/>
        <v>0</v>
      </c>
    </row>
    <row r="57" spans="1:9">
      <c r="A57" s="22"/>
      <c r="B57" s="22"/>
      <c r="C57" s="22"/>
      <c r="D57" s="23"/>
      <c r="E57" s="23"/>
      <c r="F57" s="23"/>
      <c r="G57" s="23"/>
      <c r="H57" s="23"/>
      <c r="I57" s="18">
        <f t="shared" si="0"/>
        <v>0</v>
      </c>
    </row>
    <row r="58" spans="1:9">
      <c r="A58" s="22"/>
      <c r="B58" s="22"/>
      <c r="C58" s="22"/>
      <c r="D58" s="23"/>
      <c r="E58" s="23"/>
      <c r="F58" s="23"/>
      <c r="G58" s="23"/>
      <c r="H58" s="23"/>
      <c r="I58" s="18">
        <f t="shared" si="0"/>
        <v>0</v>
      </c>
    </row>
    <row r="59" spans="1:9">
      <c r="A59" s="22"/>
      <c r="B59" s="22"/>
      <c r="C59" s="22"/>
      <c r="D59" s="23"/>
      <c r="E59" s="23"/>
      <c r="F59" s="23"/>
      <c r="G59" s="23"/>
      <c r="H59" s="23"/>
      <c r="I59" s="18">
        <f t="shared" si="0"/>
        <v>0</v>
      </c>
    </row>
    <row r="60" spans="1:9">
      <c r="A60" s="22"/>
      <c r="B60" s="22"/>
      <c r="C60" s="22"/>
      <c r="D60" s="23"/>
      <c r="E60" s="23"/>
      <c r="F60" s="23"/>
      <c r="G60" s="23"/>
      <c r="H60" s="23"/>
      <c r="I60" s="18">
        <f t="shared" si="0"/>
        <v>0</v>
      </c>
    </row>
    <row r="61" spans="1:9">
      <c r="A61" s="22"/>
      <c r="B61" s="22"/>
      <c r="C61" s="22"/>
      <c r="D61" s="23"/>
      <c r="E61" s="23"/>
      <c r="F61" s="23"/>
      <c r="G61" s="23"/>
      <c r="H61" s="23"/>
      <c r="I61" s="18">
        <f t="shared" si="0"/>
        <v>0</v>
      </c>
    </row>
    <row r="62" spans="1:9">
      <c r="A62" s="22"/>
      <c r="B62" s="22"/>
      <c r="C62" s="22"/>
      <c r="D62" s="23"/>
      <c r="E62" s="23"/>
      <c r="F62" s="23"/>
      <c r="G62" s="23"/>
      <c r="H62" s="23"/>
      <c r="I62" s="18">
        <f t="shared" si="0"/>
        <v>0</v>
      </c>
    </row>
    <row r="63" spans="1:9">
      <c r="A63" s="22"/>
      <c r="B63" s="22"/>
      <c r="C63" s="22"/>
      <c r="D63" s="23"/>
      <c r="E63" s="23"/>
      <c r="F63" s="23"/>
      <c r="G63" s="23"/>
      <c r="H63" s="23"/>
      <c r="I63" s="18">
        <f t="shared" si="0"/>
        <v>0</v>
      </c>
    </row>
    <row r="64" spans="1:9">
      <c r="A64" s="22"/>
      <c r="B64" s="22"/>
      <c r="C64" s="22"/>
      <c r="D64" s="23"/>
      <c r="E64" s="23"/>
      <c r="F64" s="23"/>
      <c r="G64" s="23"/>
      <c r="H64" s="23"/>
      <c r="I64" s="18">
        <f t="shared" si="0"/>
        <v>0</v>
      </c>
    </row>
    <row r="65" spans="1:9">
      <c r="A65" s="22"/>
      <c r="B65" s="22"/>
      <c r="C65" s="22"/>
      <c r="D65" s="23"/>
      <c r="E65" s="23"/>
      <c r="F65" s="23"/>
      <c r="G65" s="23"/>
      <c r="H65" s="23"/>
      <c r="I65" s="18">
        <f t="shared" si="0"/>
        <v>0</v>
      </c>
    </row>
    <row r="66" spans="1:9">
      <c r="A66" s="22"/>
      <c r="B66" s="22"/>
      <c r="C66" s="22"/>
      <c r="D66" s="23"/>
      <c r="E66" s="23"/>
      <c r="F66" s="23"/>
      <c r="G66" s="23"/>
      <c r="H66" s="23"/>
      <c r="I66" s="18">
        <f t="shared" si="0"/>
        <v>0</v>
      </c>
    </row>
    <row r="67" spans="1:9">
      <c r="A67" s="22"/>
      <c r="B67" s="22"/>
      <c r="C67" s="22"/>
      <c r="D67" s="23"/>
      <c r="E67" s="23"/>
      <c r="F67" s="23"/>
      <c r="G67" s="23"/>
      <c r="H67" s="23"/>
      <c r="I67" s="18">
        <f t="shared" si="0"/>
        <v>0</v>
      </c>
    </row>
    <row r="68" spans="1:9">
      <c r="A68" s="22"/>
      <c r="B68" s="22"/>
      <c r="C68" s="22"/>
      <c r="D68" s="23"/>
      <c r="E68" s="23"/>
      <c r="F68" s="23"/>
      <c r="G68" s="23"/>
      <c r="H68" s="23"/>
      <c r="I68" s="18">
        <f t="shared" si="0"/>
        <v>0</v>
      </c>
    </row>
    <row r="69" spans="1:9">
      <c r="A69" s="22"/>
      <c r="B69" s="22"/>
      <c r="C69" s="22"/>
      <c r="D69" s="23"/>
      <c r="E69" s="23"/>
      <c r="F69" s="23"/>
      <c r="G69" s="23"/>
      <c r="H69" s="23"/>
      <c r="I69" s="18">
        <f t="shared" si="0"/>
        <v>0</v>
      </c>
    </row>
    <row r="70" spans="1:9">
      <c r="A70" s="22"/>
      <c r="B70" s="22"/>
      <c r="C70" s="22"/>
      <c r="D70" s="23"/>
      <c r="E70" s="23"/>
      <c r="F70" s="23"/>
      <c r="G70" s="23"/>
      <c r="H70" s="23"/>
      <c r="I70" s="18">
        <f t="shared" ref="I70:I133" si="1">IFERROR(VALUE(LEFT(TRIM(C70),4)),0)</f>
        <v>0</v>
      </c>
    </row>
    <row r="71" spans="1:9">
      <c r="A71" s="22"/>
      <c r="B71" s="22"/>
      <c r="C71" s="22"/>
      <c r="D71" s="23"/>
      <c r="E71" s="23"/>
      <c r="F71" s="23"/>
      <c r="G71" s="23"/>
      <c r="H71" s="23"/>
      <c r="I71" s="18">
        <f t="shared" si="1"/>
        <v>0</v>
      </c>
    </row>
    <row r="72" spans="1:9">
      <c r="A72" s="22"/>
      <c r="B72" s="22"/>
      <c r="C72" s="22"/>
      <c r="D72" s="23"/>
      <c r="E72" s="23"/>
      <c r="F72" s="23"/>
      <c r="G72" s="23"/>
      <c r="H72" s="23"/>
      <c r="I72" s="18">
        <f t="shared" si="1"/>
        <v>0</v>
      </c>
    </row>
    <row r="73" spans="1:9">
      <c r="A73" s="22"/>
      <c r="B73" s="22"/>
      <c r="C73" s="22"/>
      <c r="D73" s="23"/>
      <c r="E73" s="23"/>
      <c r="F73" s="23"/>
      <c r="G73" s="23"/>
      <c r="H73" s="23"/>
      <c r="I73" s="18">
        <f t="shared" si="1"/>
        <v>0</v>
      </c>
    </row>
    <row r="74" spans="1:9">
      <c r="A74" s="22"/>
      <c r="B74" s="22"/>
      <c r="C74" s="22"/>
      <c r="D74" s="23"/>
      <c r="E74" s="23"/>
      <c r="F74" s="23"/>
      <c r="G74" s="23"/>
      <c r="H74" s="23"/>
      <c r="I74" s="18">
        <f t="shared" si="1"/>
        <v>0</v>
      </c>
    </row>
    <row r="75" spans="1:9">
      <c r="A75" s="22"/>
      <c r="B75" s="22"/>
      <c r="C75" s="22"/>
      <c r="D75" s="23"/>
      <c r="E75" s="23"/>
      <c r="F75" s="23"/>
      <c r="G75" s="23"/>
      <c r="H75" s="23"/>
      <c r="I75" s="18">
        <f t="shared" si="1"/>
        <v>0</v>
      </c>
    </row>
    <row r="76" spans="1:9">
      <c r="A76" s="22"/>
      <c r="B76" s="22"/>
      <c r="C76" s="22"/>
      <c r="D76" s="23"/>
      <c r="E76" s="23"/>
      <c r="F76" s="23"/>
      <c r="G76" s="23"/>
      <c r="H76" s="23"/>
      <c r="I76" s="18">
        <f t="shared" si="1"/>
        <v>0</v>
      </c>
    </row>
    <row r="77" spans="1:9">
      <c r="A77" s="22"/>
      <c r="B77" s="22"/>
      <c r="C77" s="22"/>
      <c r="D77" s="23"/>
      <c r="E77" s="23"/>
      <c r="F77" s="23"/>
      <c r="G77" s="23"/>
      <c r="H77" s="23"/>
      <c r="I77" s="18">
        <f t="shared" si="1"/>
        <v>0</v>
      </c>
    </row>
    <row r="78" spans="1:9">
      <c r="A78" s="22"/>
      <c r="B78" s="22"/>
      <c r="C78" s="22"/>
      <c r="D78" s="23"/>
      <c r="E78" s="23"/>
      <c r="F78" s="23"/>
      <c r="G78" s="23"/>
      <c r="H78" s="23"/>
      <c r="I78" s="18">
        <f t="shared" si="1"/>
        <v>0</v>
      </c>
    </row>
    <row r="79" spans="1:9">
      <c r="A79" s="22"/>
      <c r="B79" s="22"/>
      <c r="C79" s="22"/>
      <c r="D79" s="23"/>
      <c r="E79" s="23"/>
      <c r="F79" s="23"/>
      <c r="G79" s="23"/>
      <c r="H79" s="23"/>
      <c r="I79" s="18">
        <f t="shared" si="1"/>
        <v>0</v>
      </c>
    </row>
    <row r="80" spans="1:9">
      <c r="A80" s="22"/>
      <c r="B80" s="22"/>
      <c r="C80" s="22"/>
      <c r="D80" s="23"/>
      <c r="E80" s="23"/>
      <c r="F80" s="23"/>
      <c r="G80" s="23"/>
      <c r="H80" s="23"/>
      <c r="I80" s="18">
        <f t="shared" si="1"/>
        <v>0</v>
      </c>
    </row>
    <row r="81" spans="1:9">
      <c r="A81" s="22"/>
      <c r="B81" s="22"/>
      <c r="C81" s="22"/>
      <c r="D81" s="23"/>
      <c r="E81" s="23"/>
      <c r="F81" s="23"/>
      <c r="G81" s="23"/>
      <c r="H81" s="23"/>
      <c r="I81" s="18">
        <f t="shared" si="1"/>
        <v>0</v>
      </c>
    </row>
    <row r="82" spans="1:9">
      <c r="A82" s="22"/>
      <c r="B82" s="22"/>
      <c r="C82" s="22"/>
      <c r="D82" s="23"/>
      <c r="E82" s="23"/>
      <c r="F82" s="23"/>
      <c r="G82" s="23"/>
      <c r="H82" s="23"/>
      <c r="I82" s="18">
        <f t="shared" si="1"/>
        <v>0</v>
      </c>
    </row>
    <row r="83" spans="1:9">
      <c r="A83" s="22"/>
      <c r="B83" s="22"/>
      <c r="C83" s="22"/>
      <c r="D83" s="23"/>
      <c r="E83" s="23"/>
      <c r="F83" s="23"/>
      <c r="G83" s="23"/>
      <c r="H83" s="23"/>
      <c r="I83" s="18">
        <f t="shared" si="1"/>
        <v>0</v>
      </c>
    </row>
    <row r="84" spans="1:9">
      <c r="A84" s="22"/>
      <c r="B84" s="22"/>
      <c r="C84" s="22"/>
      <c r="D84" s="23"/>
      <c r="E84" s="23"/>
      <c r="F84" s="23"/>
      <c r="G84" s="23"/>
      <c r="H84" s="23"/>
      <c r="I84" s="18">
        <f t="shared" si="1"/>
        <v>0</v>
      </c>
    </row>
    <row r="85" spans="1:9">
      <c r="A85" s="22"/>
      <c r="B85" s="22"/>
      <c r="C85" s="22"/>
      <c r="D85" s="23"/>
      <c r="E85" s="23"/>
      <c r="F85" s="23"/>
      <c r="G85" s="23"/>
      <c r="H85" s="23"/>
      <c r="I85" s="18">
        <f t="shared" si="1"/>
        <v>0</v>
      </c>
    </row>
    <row r="86" spans="1:9">
      <c r="A86" s="22"/>
      <c r="B86" s="22"/>
      <c r="C86" s="22"/>
      <c r="D86" s="23"/>
      <c r="E86" s="23"/>
      <c r="F86" s="23"/>
      <c r="G86" s="23"/>
      <c r="H86" s="23"/>
      <c r="I86" s="18">
        <f t="shared" si="1"/>
        <v>0</v>
      </c>
    </row>
    <row r="87" spans="1:9">
      <c r="A87" s="22"/>
      <c r="B87" s="22"/>
      <c r="C87" s="22"/>
      <c r="D87" s="23"/>
      <c r="E87" s="23"/>
      <c r="F87" s="23"/>
      <c r="G87" s="23"/>
      <c r="H87" s="23"/>
      <c r="I87" s="18">
        <f t="shared" si="1"/>
        <v>0</v>
      </c>
    </row>
    <row r="88" spans="1:9">
      <c r="A88" s="22"/>
      <c r="B88" s="22"/>
      <c r="C88" s="22"/>
      <c r="D88" s="23"/>
      <c r="E88" s="23"/>
      <c r="F88" s="23"/>
      <c r="G88" s="23"/>
      <c r="H88" s="23"/>
      <c r="I88" s="18">
        <f t="shared" si="1"/>
        <v>0</v>
      </c>
    </row>
    <row r="89" spans="1:9">
      <c r="A89" s="22"/>
      <c r="B89" s="22"/>
      <c r="C89" s="22"/>
      <c r="D89" s="23"/>
      <c r="E89" s="23"/>
      <c r="F89" s="23"/>
      <c r="G89" s="23"/>
      <c r="H89" s="23"/>
      <c r="I89" s="18">
        <f t="shared" si="1"/>
        <v>0</v>
      </c>
    </row>
    <row r="90" spans="1:9">
      <c r="A90" s="22"/>
      <c r="B90" s="22"/>
      <c r="C90" s="22"/>
      <c r="D90" s="23"/>
      <c r="E90" s="23"/>
      <c r="F90" s="23"/>
      <c r="G90" s="23"/>
      <c r="H90" s="23"/>
      <c r="I90" s="18">
        <f t="shared" si="1"/>
        <v>0</v>
      </c>
    </row>
    <row r="91" spans="1:9">
      <c r="A91" s="22"/>
      <c r="B91" s="22"/>
      <c r="C91" s="22"/>
      <c r="D91" s="23"/>
      <c r="E91" s="23"/>
      <c r="F91" s="23"/>
      <c r="G91" s="23"/>
      <c r="H91" s="23"/>
      <c r="I91" s="18">
        <f t="shared" si="1"/>
        <v>0</v>
      </c>
    </row>
    <row r="92" spans="1:9">
      <c r="A92" s="22"/>
      <c r="B92" s="22"/>
      <c r="C92" s="22"/>
      <c r="D92" s="23"/>
      <c r="E92" s="23"/>
      <c r="F92" s="23"/>
      <c r="G92" s="23"/>
      <c r="H92" s="23"/>
      <c r="I92" s="18">
        <f t="shared" si="1"/>
        <v>0</v>
      </c>
    </row>
    <row r="93" spans="1:9">
      <c r="A93" s="22"/>
      <c r="B93" s="22"/>
      <c r="C93" s="22"/>
      <c r="D93" s="23"/>
      <c r="E93" s="23"/>
      <c r="F93" s="23"/>
      <c r="G93" s="23"/>
      <c r="H93" s="23"/>
      <c r="I93" s="18">
        <f t="shared" si="1"/>
        <v>0</v>
      </c>
    </row>
    <row r="94" spans="1:9">
      <c r="A94" s="22"/>
      <c r="B94" s="22"/>
      <c r="C94" s="22"/>
      <c r="D94" s="23"/>
      <c r="E94" s="23"/>
      <c r="F94" s="23"/>
      <c r="G94" s="23"/>
      <c r="H94" s="23"/>
      <c r="I94" s="18">
        <f t="shared" si="1"/>
        <v>0</v>
      </c>
    </row>
    <row r="95" spans="1:9">
      <c r="A95" s="22"/>
      <c r="B95" s="22"/>
      <c r="C95" s="22"/>
      <c r="D95" s="23"/>
      <c r="E95" s="23"/>
      <c r="F95" s="23"/>
      <c r="G95" s="23"/>
      <c r="H95" s="23"/>
      <c r="I95" s="18">
        <f t="shared" si="1"/>
        <v>0</v>
      </c>
    </row>
    <row r="96" spans="1:9">
      <c r="A96" s="22"/>
      <c r="B96" s="22"/>
      <c r="C96" s="22"/>
      <c r="D96" s="23"/>
      <c r="E96" s="23"/>
      <c r="F96" s="23"/>
      <c r="G96" s="23"/>
      <c r="H96" s="23"/>
      <c r="I96" s="18">
        <f t="shared" si="1"/>
        <v>0</v>
      </c>
    </row>
    <row r="97" spans="1:9">
      <c r="A97" s="22"/>
      <c r="B97" s="22"/>
      <c r="C97" s="22"/>
      <c r="D97" s="23"/>
      <c r="E97" s="23"/>
      <c r="F97" s="23"/>
      <c r="G97" s="23"/>
      <c r="H97" s="23"/>
      <c r="I97" s="18">
        <f t="shared" si="1"/>
        <v>0</v>
      </c>
    </row>
    <row r="98" spans="1:9">
      <c r="A98" s="22"/>
      <c r="B98" s="22"/>
      <c r="C98" s="22"/>
      <c r="D98" s="23"/>
      <c r="E98" s="23"/>
      <c r="F98" s="23"/>
      <c r="G98" s="23"/>
      <c r="H98" s="23"/>
      <c r="I98" s="18">
        <f t="shared" si="1"/>
        <v>0</v>
      </c>
    </row>
    <row r="99" spans="1:9">
      <c r="A99" s="22"/>
      <c r="B99" s="22"/>
      <c r="C99" s="22"/>
      <c r="D99" s="23"/>
      <c r="E99" s="23"/>
      <c r="F99" s="23"/>
      <c r="G99" s="23"/>
      <c r="H99" s="23"/>
      <c r="I99" s="18">
        <f t="shared" si="1"/>
        <v>0</v>
      </c>
    </row>
    <row r="100" spans="1:9">
      <c r="A100" s="22"/>
      <c r="B100" s="22"/>
      <c r="C100" s="22"/>
      <c r="D100" s="23"/>
      <c r="E100" s="23"/>
      <c r="F100" s="23"/>
      <c r="G100" s="23"/>
      <c r="H100" s="23"/>
      <c r="I100" s="18">
        <f t="shared" si="1"/>
        <v>0</v>
      </c>
    </row>
    <row r="101" spans="1:9">
      <c r="A101" s="22"/>
      <c r="B101" s="22"/>
      <c r="C101" s="22"/>
      <c r="D101" s="23"/>
      <c r="E101" s="23"/>
      <c r="F101" s="23"/>
      <c r="G101" s="23"/>
      <c r="H101" s="23"/>
      <c r="I101" s="18">
        <f t="shared" si="1"/>
        <v>0</v>
      </c>
    </row>
    <row r="102" spans="1:9">
      <c r="A102" s="22"/>
      <c r="B102" s="22"/>
      <c r="C102" s="22"/>
      <c r="D102" s="23"/>
      <c r="E102" s="23"/>
      <c r="F102" s="23"/>
      <c r="G102" s="23"/>
      <c r="H102" s="23"/>
      <c r="I102" s="18">
        <f t="shared" si="1"/>
        <v>0</v>
      </c>
    </row>
    <row r="103" spans="1:9">
      <c r="A103" s="22"/>
      <c r="B103" s="22"/>
      <c r="C103" s="22"/>
      <c r="D103" s="23"/>
      <c r="E103" s="23"/>
      <c r="F103" s="23"/>
      <c r="G103" s="23"/>
      <c r="H103" s="23"/>
      <c r="I103" s="18">
        <f t="shared" si="1"/>
        <v>0</v>
      </c>
    </row>
    <row r="104" spans="1:9">
      <c r="A104" s="22"/>
      <c r="B104" s="22"/>
      <c r="C104" s="22"/>
      <c r="D104" s="23"/>
      <c r="E104" s="23"/>
      <c r="F104" s="23"/>
      <c r="G104" s="23"/>
      <c r="H104" s="23"/>
      <c r="I104" s="18">
        <f t="shared" si="1"/>
        <v>0</v>
      </c>
    </row>
    <row r="105" spans="1:9">
      <c r="A105" s="22"/>
      <c r="B105" s="22"/>
      <c r="C105" s="22"/>
      <c r="D105" s="23"/>
      <c r="E105" s="23"/>
      <c r="F105" s="23"/>
      <c r="G105" s="23"/>
      <c r="H105" s="23"/>
      <c r="I105" s="18">
        <f t="shared" si="1"/>
        <v>0</v>
      </c>
    </row>
    <row r="106" spans="1:9">
      <c r="A106" s="22"/>
      <c r="B106" s="22"/>
      <c r="C106" s="22"/>
      <c r="D106" s="23"/>
      <c r="E106" s="23"/>
      <c r="F106" s="23"/>
      <c r="G106" s="23"/>
      <c r="H106" s="23"/>
      <c r="I106" s="18">
        <f t="shared" si="1"/>
        <v>0</v>
      </c>
    </row>
    <row r="107" spans="1:9">
      <c r="A107" s="22"/>
      <c r="B107" s="22"/>
      <c r="C107" s="22"/>
      <c r="D107" s="23"/>
      <c r="E107" s="23"/>
      <c r="F107" s="23"/>
      <c r="G107" s="23"/>
      <c r="H107" s="23"/>
      <c r="I107" s="18">
        <f t="shared" si="1"/>
        <v>0</v>
      </c>
    </row>
    <row r="108" spans="1:9">
      <c r="A108" s="22"/>
      <c r="B108" s="22"/>
      <c r="C108" s="22"/>
      <c r="D108" s="23"/>
      <c r="E108" s="23"/>
      <c r="F108" s="23"/>
      <c r="G108" s="23"/>
      <c r="H108" s="23"/>
      <c r="I108" s="18">
        <f t="shared" si="1"/>
        <v>0</v>
      </c>
    </row>
    <row r="109" spans="1:9">
      <c r="A109" s="22"/>
      <c r="B109" s="22"/>
      <c r="C109" s="22"/>
      <c r="D109" s="23"/>
      <c r="E109" s="23"/>
      <c r="F109" s="23"/>
      <c r="G109" s="23"/>
      <c r="H109" s="23"/>
      <c r="I109" s="18">
        <f t="shared" si="1"/>
        <v>0</v>
      </c>
    </row>
    <row r="110" spans="1:9">
      <c r="A110" s="22"/>
      <c r="B110" s="22"/>
      <c r="C110" s="22"/>
      <c r="D110" s="23"/>
      <c r="E110" s="23"/>
      <c r="F110" s="23"/>
      <c r="G110" s="23"/>
      <c r="H110" s="23"/>
      <c r="I110" s="18">
        <f t="shared" si="1"/>
        <v>0</v>
      </c>
    </row>
    <row r="111" spans="1:9">
      <c r="A111" s="22"/>
      <c r="B111" s="22"/>
      <c r="C111" s="22"/>
      <c r="D111" s="23"/>
      <c r="E111" s="23"/>
      <c r="F111" s="23"/>
      <c r="G111" s="23"/>
      <c r="H111" s="23"/>
      <c r="I111" s="18">
        <f t="shared" si="1"/>
        <v>0</v>
      </c>
    </row>
    <row r="112" spans="1:9">
      <c r="A112" s="22"/>
      <c r="B112" s="22"/>
      <c r="C112" s="22"/>
      <c r="D112" s="23"/>
      <c r="E112" s="23"/>
      <c r="F112" s="23"/>
      <c r="G112" s="23"/>
      <c r="H112" s="23"/>
      <c r="I112" s="18">
        <f t="shared" si="1"/>
        <v>0</v>
      </c>
    </row>
    <row r="113" spans="1:9">
      <c r="A113" s="22"/>
      <c r="B113" s="22"/>
      <c r="C113" s="22"/>
      <c r="D113" s="23"/>
      <c r="E113" s="23"/>
      <c r="F113" s="23"/>
      <c r="G113" s="23"/>
      <c r="H113" s="23"/>
      <c r="I113" s="18">
        <f t="shared" si="1"/>
        <v>0</v>
      </c>
    </row>
    <row r="114" spans="1:9">
      <c r="A114" s="22"/>
      <c r="B114" s="22"/>
      <c r="C114" s="22"/>
      <c r="D114" s="23"/>
      <c r="E114" s="23"/>
      <c r="F114" s="23"/>
      <c r="G114" s="23"/>
      <c r="H114" s="23"/>
      <c r="I114" s="18">
        <f t="shared" si="1"/>
        <v>0</v>
      </c>
    </row>
    <row r="115" spans="1:9">
      <c r="A115" s="22"/>
      <c r="B115" s="22"/>
      <c r="C115" s="22"/>
      <c r="D115" s="23"/>
      <c r="E115" s="23"/>
      <c r="F115" s="23"/>
      <c r="G115" s="23"/>
      <c r="H115" s="23"/>
      <c r="I115" s="18">
        <f t="shared" si="1"/>
        <v>0</v>
      </c>
    </row>
    <row r="116" spans="1:9">
      <c r="A116" s="22"/>
      <c r="B116" s="22"/>
      <c r="C116" s="22"/>
      <c r="D116" s="23"/>
      <c r="E116" s="23"/>
      <c r="F116" s="23"/>
      <c r="G116" s="23"/>
      <c r="H116" s="23"/>
      <c r="I116" s="18">
        <f t="shared" si="1"/>
        <v>0</v>
      </c>
    </row>
    <row r="117" spans="1:9">
      <c r="A117" s="22"/>
      <c r="B117" s="22"/>
      <c r="C117" s="22"/>
      <c r="D117" s="23"/>
      <c r="E117" s="23"/>
      <c r="F117" s="23"/>
      <c r="G117" s="23"/>
      <c r="H117" s="23"/>
      <c r="I117" s="18">
        <f t="shared" si="1"/>
        <v>0</v>
      </c>
    </row>
    <row r="118" spans="1:9">
      <c r="A118" s="22"/>
      <c r="B118" s="22"/>
      <c r="C118" s="22"/>
      <c r="D118" s="23"/>
      <c r="E118" s="23"/>
      <c r="F118" s="23"/>
      <c r="G118" s="23"/>
      <c r="H118" s="23"/>
      <c r="I118" s="18">
        <f t="shared" si="1"/>
        <v>0</v>
      </c>
    </row>
    <row r="119" spans="1:9">
      <c r="A119" s="22"/>
      <c r="B119" s="22"/>
      <c r="C119" s="22"/>
      <c r="D119" s="23"/>
      <c r="E119" s="23"/>
      <c r="F119" s="23"/>
      <c r="G119" s="23"/>
      <c r="H119" s="23"/>
      <c r="I119" s="18">
        <f t="shared" si="1"/>
        <v>0</v>
      </c>
    </row>
    <row r="120" spans="1:9">
      <c r="A120" s="22"/>
      <c r="B120" s="22"/>
      <c r="C120" s="22"/>
      <c r="D120" s="23"/>
      <c r="E120" s="23"/>
      <c r="F120" s="23"/>
      <c r="G120" s="23"/>
      <c r="H120" s="23"/>
      <c r="I120" s="18">
        <f t="shared" si="1"/>
        <v>0</v>
      </c>
    </row>
    <row r="121" spans="1:9">
      <c r="A121" s="22"/>
      <c r="B121" s="22"/>
      <c r="C121" s="22"/>
      <c r="D121" s="23"/>
      <c r="E121" s="23"/>
      <c r="F121" s="23"/>
      <c r="G121" s="23"/>
      <c r="H121" s="23"/>
      <c r="I121" s="18">
        <f t="shared" si="1"/>
        <v>0</v>
      </c>
    </row>
    <row r="122" spans="1:9">
      <c r="A122" s="22"/>
      <c r="B122" s="22"/>
      <c r="C122" s="22"/>
      <c r="D122" s="23"/>
      <c r="E122" s="23"/>
      <c r="F122" s="23"/>
      <c r="G122" s="23"/>
      <c r="H122" s="23"/>
      <c r="I122" s="18">
        <f t="shared" si="1"/>
        <v>0</v>
      </c>
    </row>
    <row r="123" spans="1:9">
      <c r="A123" s="22"/>
      <c r="B123" s="22"/>
      <c r="C123" s="22"/>
      <c r="D123" s="23"/>
      <c r="E123" s="23"/>
      <c r="F123" s="23"/>
      <c r="G123" s="23"/>
      <c r="H123" s="23"/>
      <c r="I123" s="18">
        <f t="shared" si="1"/>
        <v>0</v>
      </c>
    </row>
    <row r="124" spans="1:9">
      <c r="A124" s="22"/>
      <c r="B124" s="22"/>
      <c r="C124" s="22"/>
      <c r="D124" s="23"/>
      <c r="E124" s="23"/>
      <c r="F124" s="23"/>
      <c r="G124" s="23"/>
      <c r="H124" s="23"/>
      <c r="I124" s="18">
        <f t="shared" si="1"/>
        <v>0</v>
      </c>
    </row>
    <row r="125" spans="1:9">
      <c r="A125" s="22"/>
      <c r="B125" s="22"/>
      <c r="C125" s="22"/>
      <c r="D125" s="23"/>
      <c r="E125" s="23"/>
      <c r="F125" s="23"/>
      <c r="G125" s="23"/>
      <c r="H125" s="23"/>
      <c r="I125" s="18">
        <f t="shared" si="1"/>
        <v>0</v>
      </c>
    </row>
    <row r="126" spans="1:9">
      <c r="A126" s="22"/>
      <c r="B126" s="22"/>
      <c r="C126" s="22"/>
      <c r="D126" s="23"/>
      <c r="E126" s="23"/>
      <c r="F126" s="23"/>
      <c r="G126" s="23"/>
      <c r="H126" s="23"/>
      <c r="I126" s="18">
        <f t="shared" si="1"/>
        <v>0</v>
      </c>
    </row>
    <row r="127" spans="1:9">
      <c r="A127" s="22"/>
      <c r="B127" s="22"/>
      <c r="C127" s="22"/>
      <c r="D127" s="23"/>
      <c r="E127" s="23"/>
      <c r="F127" s="23"/>
      <c r="G127" s="23"/>
      <c r="H127" s="23"/>
      <c r="I127" s="18">
        <f t="shared" si="1"/>
        <v>0</v>
      </c>
    </row>
    <row r="128" spans="1:9">
      <c r="A128" s="22"/>
      <c r="B128" s="22"/>
      <c r="C128" s="22"/>
      <c r="D128" s="23"/>
      <c r="E128" s="23"/>
      <c r="F128" s="23"/>
      <c r="G128" s="23"/>
      <c r="H128" s="23"/>
      <c r="I128" s="18">
        <f t="shared" si="1"/>
        <v>0</v>
      </c>
    </row>
    <row r="129" spans="1:9">
      <c r="A129" s="22"/>
      <c r="B129" s="22"/>
      <c r="C129" s="22"/>
      <c r="D129" s="23"/>
      <c r="E129" s="23"/>
      <c r="F129" s="23"/>
      <c r="G129" s="23"/>
      <c r="H129" s="23"/>
      <c r="I129" s="18">
        <f t="shared" si="1"/>
        <v>0</v>
      </c>
    </row>
    <row r="130" spans="1:9">
      <c r="A130" s="22"/>
      <c r="B130" s="22"/>
      <c r="C130" s="22"/>
      <c r="D130" s="23"/>
      <c r="E130" s="23"/>
      <c r="F130" s="23"/>
      <c r="G130" s="23"/>
      <c r="H130" s="23"/>
      <c r="I130" s="18">
        <f t="shared" si="1"/>
        <v>0</v>
      </c>
    </row>
    <row r="131" spans="1:9">
      <c r="A131" s="22"/>
      <c r="B131" s="22"/>
      <c r="C131" s="22"/>
      <c r="D131" s="23"/>
      <c r="E131" s="23"/>
      <c r="F131" s="23"/>
      <c r="G131" s="23"/>
      <c r="H131" s="23"/>
      <c r="I131" s="18">
        <f t="shared" si="1"/>
        <v>0</v>
      </c>
    </row>
    <row r="132" spans="1:9">
      <c r="A132" s="22"/>
      <c r="B132" s="22"/>
      <c r="C132" s="22"/>
      <c r="D132" s="23"/>
      <c r="E132" s="23"/>
      <c r="F132" s="23"/>
      <c r="G132" s="23"/>
      <c r="H132" s="23"/>
      <c r="I132" s="18">
        <f t="shared" si="1"/>
        <v>0</v>
      </c>
    </row>
    <row r="133" spans="1:9">
      <c r="A133" s="22"/>
      <c r="B133" s="22"/>
      <c r="C133" s="22"/>
      <c r="D133" s="23"/>
      <c r="E133" s="23"/>
      <c r="F133" s="23"/>
      <c r="G133" s="23"/>
      <c r="H133" s="23"/>
      <c r="I133" s="18">
        <f t="shared" si="1"/>
        <v>0</v>
      </c>
    </row>
    <row r="134" spans="1:9">
      <c r="A134" s="22"/>
      <c r="B134" s="22"/>
      <c r="C134" s="22"/>
      <c r="D134" s="23"/>
      <c r="E134" s="23"/>
      <c r="F134" s="23"/>
      <c r="G134" s="23"/>
      <c r="H134" s="23"/>
      <c r="I134" s="18">
        <f t="shared" ref="I134:I197" si="2">IFERROR(VALUE(LEFT(TRIM(C134),4)),0)</f>
        <v>0</v>
      </c>
    </row>
    <row r="135" spans="1:9">
      <c r="A135" s="22"/>
      <c r="B135" s="22"/>
      <c r="C135" s="22"/>
      <c r="D135" s="23"/>
      <c r="E135" s="23"/>
      <c r="F135" s="23"/>
      <c r="G135" s="23"/>
      <c r="H135" s="23"/>
      <c r="I135" s="18">
        <f t="shared" si="2"/>
        <v>0</v>
      </c>
    </row>
    <row r="136" spans="1:9">
      <c r="A136" s="22"/>
      <c r="B136" s="22"/>
      <c r="C136" s="22"/>
      <c r="D136" s="23"/>
      <c r="E136" s="23"/>
      <c r="F136" s="23"/>
      <c r="G136" s="23"/>
      <c r="H136" s="23"/>
      <c r="I136" s="18">
        <f t="shared" si="2"/>
        <v>0</v>
      </c>
    </row>
    <row r="137" spans="1:9">
      <c r="A137" s="22"/>
      <c r="B137" s="22"/>
      <c r="C137" s="22"/>
      <c r="D137" s="23"/>
      <c r="E137" s="23"/>
      <c r="F137" s="23"/>
      <c r="G137" s="23"/>
      <c r="H137" s="23"/>
      <c r="I137" s="18">
        <f t="shared" si="2"/>
        <v>0</v>
      </c>
    </row>
    <row r="138" spans="1:9">
      <c r="A138" s="22"/>
      <c r="B138" s="22"/>
      <c r="C138" s="22"/>
      <c r="D138" s="23"/>
      <c r="E138" s="23"/>
      <c r="F138" s="23"/>
      <c r="G138" s="23"/>
      <c r="H138" s="23"/>
      <c r="I138" s="18">
        <f t="shared" si="2"/>
        <v>0</v>
      </c>
    </row>
    <row r="139" spans="1:9">
      <c r="A139" s="22"/>
      <c r="B139" s="22"/>
      <c r="C139" s="22"/>
      <c r="D139" s="23"/>
      <c r="E139" s="23"/>
      <c r="F139" s="23"/>
      <c r="G139" s="23"/>
      <c r="H139" s="23"/>
      <c r="I139" s="18">
        <f t="shared" si="2"/>
        <v>0</v>
      </c>
    </row>
    <row r="140" spans="1:9">
      <c r="A140" s="22"/>
      <c r="B140" s="22"/>
      <c r="C140" s="22"/>
      <c r="D140" s="23"/>
      <c r="E140" s="23"/>
      <c r="F140" s="23"/>
      <c r="G140" s="23"/>
      <c r="H140" s="23"/>
      <c r="I140" s="18">
        <f t="shared" si="2"/>
        <v>0</v>
      </c>
    </row>
    <row r="141" spans="1:9">
      <c r="A141" s="22"/>
      <c r="B141" s="22"/>
      <c r="C141" s="22"/>
      <c r="D141" s="23"/>
      <c r="E141" s="23"/>
      <c r="F141" s="23"/>
      <c r="G141" s="23"/>
      <c r="H141" s="23"/>
      <c r="I141" s="18">
        <f t="shared" si="2"/>
        <v>0</v>
      </c>
    </row>
    <row r="142" spans="1:9">
      <c r="A142" s="22"/>
      <c r="B142" s="22"/>
      <c r="C142" s="22"/>
      <c r="D142" s="23"/>
      <c r="E142" s="23"/>
      <c r="F142" s="23"/>
      <c r="G142" s="23"/>
      <c r="H142" s="23"/>
      <c r="I142" s="18">
        <f t="shared" si="2"/>
        <v>0</v>
      </c>
    </row>
    <row r="143" spans="1:9">
      <c r="A143" s="22"/>
      <c r="B143" s="22"/>
      <c r="C143" s="22"/>
      <c r="D143" s="23"/>
      <c r="E143" s="23"/>
      <c r="F143" s="23"/>
      <c r="G143" s="23"/>
      <c r="H143" s="23"/>
      <c r="I143" s="18">
        <f t="shared" si="2"/>
        <v>0</v>
      </c>
    </row>
    <row r="144" spans="1:9">
      <c r="A144" s="22"/>
      <c r="B144" s="22"/>
      <c r="C144" s="22"/>
      <c r="D144" s="23"/>
      <c r="E144" s="23"/>
      <c r="F144" s="23"/>
      <c r="G144" s="23"/>
      <c r="H144" s="23"/>
      <c r="I144" s="18">
        <f t="shared" si="2"/>
        <v>0</v>
      </c>
    </row>
    <row r="145" spans="1:9">
      <c r="A145" s="22"/>
      <c r="B145" s="22"/>
      <c r="C145" s="22"/>
      <c r="D145" s="23"/>
      <c r="E145" s="23"/>
      <c r="F145" s="23"/>
      <c r="G145" s="23"/>
      <c r="H145" s="23"/>
      <c r="I145" s="18">
        <f t="shared" si="2"/>
        <v>0</v>
      </c>
    </row>
    <row r="146" spans="1:9">
      <c r="A146" s="22"/>
      <c r="B146" s="22"/>
      <c r="C146" s="22"/>
      <c r="D146" s="23"/>
      <c r="E146" s="23"/>
      <c r="F146" s="23"/>
      <c r="G146" s="23"/>
      <c r="H146" s="23"/>
      <c r="I146" s="18">
        <f t="shared" si="2"/>
        <v>0</v>
      </c>
    </row>
    <row r="147" spans="1:9">
      <c r="A147" s="22"/>
      <c r="B147" s="22"/>
      <c r="C147" s="22"/>
      <c r="D147" s="23"/>
      <c r="E147" s="23"/>
      <c r="F147" s="23"/>
      <c r="G147" s="23"/>
      <c r="H147" s="23"/>
      <c r="I147" s="18">
        <f t="shared" si="2"/>
        <v>0</v>
      </c>
    </row>
    <row r="148" spans="1:9">
      <c r="A148" s="22"/>
      <c r="B148" s="22"/>
      <c r="C148" s="22"/>
      <c r="D148" s="23"/>
      <c r="E148" s="23"/>
      <c r="F148" s="23"/>
      <c r="G148" s="23"/>
      <c r="H148" s="23"/>
      <c r="I148" s="18">
        <f t="shared" si="2"/>
        <v>0</v>
      </c>
    </row>
    <row r="149" spans="1:9">
      <c r="A149" s="22"/>
      <c r="B149" s="22"/>
      <c r="C149" s="22"/>
      <c r="D149" s="23"/>
      <c r="E149" s="23"/>
      <c r="F149" s="23"/>
      <c r="G149" s="23"/>
      <c r="H149" s="23"/>
      <c r="I149" s="18">
        <f t="shared" si="2"/>
        <v>0</v>
      </c>
    </row>
    <row r="150" spans="1:9">
      <c r="A150" s="22"/>
      <c r="B150" s="22"/>
      <c r="C150" s="22"/>
      <c r="D150" s="23"/>
      <c r="E150" s="23"/>
      <c r="F150" s="23"/>
      <c r="G150" s="23"/>
      <c r="H150" s="23"/>
      <c r="I150" s="18">
        <f t="shared" si="2"/>
        <v>0</v>
      </c>
    </row>
    <row r="151" spans="1:9">
      <c r="A151" s="22"/>
      <c r="B151" s="22"/>
      <c r="C151" s="22"/>
      <c r="D151" s="23"/>
      <c r="E151" s="23"/>
      <c r="F151" s="23"/>
      <c r="G151" s="23"/>
      <c r="H151" s="23"/>
      <c r="I151" s="18">
        <f t="shared" si="2"/>
        <v>0</v>
      </c>
    </row>
    <row r="152" spans="1:9">
      <c r="A152" s="22"/>
      <c r="B152" s="22"/>
      <c r="C152" s="22"/>
      <c r="D152" s="23"/>
      <c r="E152" s="23"/>
      <c r="F152" s="23"/>
      <c r="G152" s="23"/>
      <c r="H152" s="23"/>
      <c r="I152" s="18">
        <f t="shared" si="2"/>
        <v>0</v>
      </c>
    </row>
    <row r="153" spans="1:9">
      <c r="A153" s="22"/>
      <c r="B153" s="22"/>
      <c r="C153" s="22"/>
      <c r="D153" s="23"/>
      <c r="E153" s="23"/>
      <c r="F153" s="23"/>
      <c r="G153" s="23"/>
      <c r="H153" s="23"/>
      <c r="I153" s="18">
        <f t="shared" si="2"/>
        <v>0</v>
      </c>
    </row>
    <row r="154" spans="1:9">
      <c r="A154" s="22"/>
      <c r="B154" s="22"/>
      <c r="C154" s="22"/>
      <c r="D154" s="23"/>
      <c r="E154" s="23"/>
      <c r="F154" s="23"/>
      <c r="G154" s="23"/>
      <c r="H154" s="23"/>
      <c r="I154" s="18">
        <f t="shared" si="2"/>
        <v>0</v>
      </c>
    </row>
    <row r="155" spans="1:9">
      <c r="A155" s="22"/>
      <c r="B155" s="22"/>
      <c r="C155" s="22"/>
      <c r="D155" s="23"/>
      <c r="E155" s="23"/>
      <c r="F155" s="23"/>
      <c r="G155" s="23"/>
      <c r="H155" s="23"/>
      <c r="I155" s="18">
        <f t="shared" si="2"/>
        <v>0</v>
      </c>
    </row>
    <row r="156" spans="1:9">
      <c r="A156" s="22"/>
      <c r="B156" s="22"/>
      <c r="C156" s="22"/>
      <c r="D156" s="23"/>
      <c r="E156" s="23"/>
      <c r="F156" s="23"/>
      <c r="G156" s="23"/>
      <c r="H156" s="23"/>
      <c r="I156" s="18">
        <f t="shared" si="2"/>
        <v>0</v>
      </c>
    </row>
    <row r="157" spans="1:9">
      <c r="A157" s="22"/>
      <c r="B157" s="22"/>
      <c r="C157" s="22"/>
      <c r="D157" s="23"/>
      <c r="E157" s="23"/>
      <c r="F157" s="23"/>
      <c r="G157" s="23"/>
      <c r="H157" s="23"/>
      <c r="I157" s="18">
        <f t="shared" si="2"/>
        <v>0</v>
      </c>
    </row>
    <row r="158" spans="1:9">
      <c r="A158" s="22"/>
      <c r="B158" s="22"/>
      <c r="C158" s="22"/>
      <c r="D158" s="23"/>
      <c r="E158" s="23"/>
      <c r="F158" s="23"/>
      <c r="G158" s="23"/>
      <c r="H158" s="23"/>
      <c r="I158" s="18">
        <f t="shared" si="2"/>
        <v>0</v>
      </c>
    </row>
    <row r="159" spans="1:9">
      <c r="A159" s="22"/>
      <c r="B159" s="22"/>
      <c r="C159" s="22"/>
      <c r="D159" s="23"/>
      <c r="E159" s="23"/>
      <c r="F159" s="23"/>
      <c r="G159" s="23"/>
      <c r="H159" s="23"/>
      <c r="I159" s="18">
        <f t="shared" si="2"/>
        <v>0</v>
      </c>
    </row>
    <row r="160" spans="1:9">
      <c r="A160" s="22"/>
      <c r="B160" s="22"/>
      <c r="C160" s="22"/>
      <c r="D160" s="23"/>
      <c r="E160" s="23"/>
      <c r="F160" s="23"/>
      <c r="G160" s="23"/>
      <c r="H160" s="23"/>
      <c r="I160" s="18">
        <f t="shared" si="2"/>
        <v>0</v>
      </c>
    </row>
    <row r="161" spans="1:9">
      <c r="A161" s="22"/>
      <c r="B161" s="22"/>
      <c r="C161" s="22"/>
      <c r="D161" s="23"/>
      <c r="E161" s="23"/>
      <c r="F161" s="23"/>
      <c r="G161" s="23"/>
      <c r="H161" s="23"/>
      <c r="I161" s="18">
        <f t="shared" si="2"/>
        <v>0</v>
      </c>
    </row>
    <row r="162" spans="1:9">
      <c r="A162" s="22"/>
      <c r="B162" s="22"/>
      <c r="C162" s="22"/>
      <c r="D162" s="23"/>
      <c r="E162" s="23"/>
      <c r="F162" s="23"/>
      <c r="G162" s="23"/>
      <c r="H162" s="23"/>
      <c r="I162" s="18">
        <f t="shared" si="2"/>
        <v>0</v>
      </c>
    </row>
    <row r="163" spans="1:9">
      <c r="A163" s="22"/>
      <c r="B163" s="22"/>
      <c r="C163" s="22"/>
      <c r="D163" s="23"/>
      <c r="E163" s="23"/>
      <c r="F163" s="23"/>
      <c r="G163" s="23"/>
      <c r="H163" s="23"/>
      <c r="I163" s="18">
        <f t="shared" si="2"/>
        <v>0</v>
      </c>
    </row>
    <row r="164" spans="1:9">
      <c r="A164" s="22"/>
      <c r="B164" s="22"/>
      <c r="C164" s="22"/>
      <c r="D164" s="23"/>
      <c r="E164" s="23"/>
      <c r="F164" s="23"/>
      <c r="G164" s="23"/>
      <c r="H164" s="23"/>
      <c r="I164" s="18">
        <f t="shared" si="2"/>
        <v>0</v>
      </c>
    </row>
    <row r="165" spans="1:9">
      <c r="A165" s="22"/>
      <c r="B165" s="22"/>
      <c r="C165" s="22"/>
      <c r="D165" s="23"/>
      <c r="E165" s="23"/>
      <c r="F165" s="23"/>
      <c r="G165" s="23"/>
      <c r="H165" s="23"/>
      <c r="I165" s="18">
        <f t="shared" si="2"/>
        <v>0</v>
      </c>
    </row>
    <row r="166" spans="1:9">
      <c r="A166" s="22"/>
      <c r="B166" s="22"/>
      <c r="C166" s="22"/>
      <c r="D166" s="23"/>
      <c r="E166" s="23"/>
      <c r="F166" s="23"/>
      <c r="G166" s="23"/>
      <c r="H166" s="23"/>
      <c r="I166" s="18">
        <f t="shared" si="2"/>
        <v>0</v>
      </c>
    </row>
    <row r="167" spans="1:9">
      <c r="A167" s="22"/>
      <c r="B167" s="22"/>
      <c r="C167" s="22"/>
      <c r="D167" s="23"/>
      <c r="E167" s="23"/>
      <c r="F167" s="23"/>
      <c r="G167" s="23"/>
      <c r="H167" s="23"/>
      <c r="I167" s="18">
        <f t="shared" si="2"/>
        <v>0</v>
      </c>
    </row>
    <row r="168" spans="1:9">
      <c r="A168" s="22"/>
      <c r="B168" s="22"/>
      <c r="C168" s="22"/>
      <c r="D168" s="23"/>
      <c r="E168" s="23"/>
      <c r="F168" s="23"/>
      <c r="G168" s="23"/>
      <c r="H168" s="23"/>
      <c r="I168" s="18">
        <f t="shared" si="2"/>
        <v>0</v>
      </c>
    </row>
    <row r="169" spans="1:9">
      <c r="A169" s="22"/>
      <c r="B169" s="22"/>
      <c r="C169" s="22"/>
      <c r="D169" s="23"/>
      <c r="E169" s="23"/>
      <c r="F169" s="23"/>
      <c r="G169" s="23"/>
      <c r="H169" s="23"/>
      <c r="I169" s="18">
        <f t="shared" si="2"/>
        <v>0</v>
      </c>
    </row>
    <row r="170" spans="1:9">
      <c r="A170" s="22"/>
      <c r="B170" s="22"/>
      <c r="C170" s="22"/>
      <c r="D170" s="23"/>
      <c r="E170" s="23"/>
      <c r="F170" s="23"/>
      <c r="G170" s="23"/>
      <c r="H170" s="23"/>
      <c r="I170" s="18">
        <f t="shared" si="2"/>
        <v>0</v>
      </c>
    </row>
    <row r="171" spans="1:9">
      <c r="A171" s="22"/>
      <c r="B171" s="22"/>
      <c r="C171" s="22"/>
      <c r="D171" s="23"/>
      <c r="E171" s="23"/>
      <c r="F171" s="23"/>
      <c r="G171" s="23"/>
      <c r="H171" s="23"/>
      <c r="I171" s="18">
        <f t="shared" si="2"/>
        <v>0</v>
      </c>
    </row>
    <row r="172" spans="1:9">
      <c r="A172" s="22"/>
      <c r="B172" s="22"/>
      <c r="C172" s="22"/>
      <c r="D172" s="23"/>
      <c r="E172" s="23"/>
      <c r="F172" s="23"/>
      <c r="G172" s="23"/>
      <c r="H172" s="23"/>
      <c r="I172" s="18">
        <f t="shared" si="2"/>
        <v>0</v>
      </c>
    </row>
    <row r="173" spans="1:9">
      <c r="A173" s="22"/>
      <c r="B173" s="22"/>
      <c r="C173" s="22"/>
      <c r="D173" s="23"/>
      <c r="E173" s="23"/>
      <c r="F173" s="23"/>
      <c r="G173" s="23"/>
      <c r="H173" s="23"/>
      <c r="I173" s="18">
        <f t="shared" si="2"/>
        <v>0</v>
      </c>
    </row>
    <row r="174" spans="1:9">
      <c r="A174" s="22"/>
      <c r="B174" s="22"/>
      <c r="C174" s="22"/>
      <c r="D174" s="23"/>
      <c r="E174" s="23"/>
      <c r="F174" s="23"/>
      <c r="G174" s="23"/>
      <c r="H174" s="23"/>
      <c r="I174" s="18">
        <f t="shared" si="2"/>
        <v>0</v>
      </c>
    </row>
    <row r="175" spans="1:9">
      <c r="A175" s="22"/>
      <c r="B175" s="22"/>
      <c r="C175" s="22"/>
      <c r="D175" s="23"/>
      <c r="E175" s="23"/>
      <c r="F175" s="23"/>
      <c r="G175" s="23"/>
      <c r="H175" s="23"/>
      <c r="I175" s="18">
        <f t="shared" si="2"/>
        <v>0</v>
      </c>
    </row>
    <row r="176" spans="1:9">
      <c r="A176" s="22"/>
      <c r="B176" s="22"/>
      <c r="C176" s="22"/>
      <c r="D176" s="23"/>
      <c r="E176" s="23"/>
      <c r="F176" s="23"/>
      <c r="G176" s="23"/>
      <c r="H176" s="23"/>
      <c r="I176" s="18">
        <f t="shared" si="2"/>
        <v>0</v>
      </c>
    </row>
    <row r="177" spans="1:9">
      <c r="A177" s="22"/>
      <c r="B177" s="22"/>
      <c r="C177" s="22"/>
      <c r="D177" s="23"/>
      <c r="E177" s="23"/>
      <c r="F177" s="23"/>
      <c r="G177" s="23"/>
      <c r="H177" s="23"/>
      <c r="I177" s="18">
        <f t="shared" si="2"/>
        <v>0</v>
      </c>
    </row>
    <row r="178" spans="1:9">
      <c r="A178" s="22"/>
      <c r="B178" s="22"/>
      <c r="C178" s="22"/>
      <c r="D178" s="23"/>
      <c r="E178" s="23"/>
      <c r="F178" s="23"/>
      <c r="G178" s="23"/>
      <c r="H178" s="23"/>
      <c r="I178" s="18">
        <f t="shared" si="2"/>
        <v>0</v>
      </c>
    </row>
    <row r="179" spans="1:9">
      <c r="A179" s="22"/>
      <c r="B179" s="22"/>
      <c r="C179" s="22"/>
      <c r="D179" s="23"/>
      <c r="E179" s="23"/>
      <c r="F179" s="23"/>
      <c r="G179" s="23"/>
      <c r="H179" s="23"/>
      <c r="I179" s="18">
        <f t="shared" si="2"/>
        <v>0</v>
      </c>
    </row>
    <row r="180" spans="1:9">
      <c r="A180" s="22"/>
      <c r="B180" s="22"/>
      <c r="C180" s="22"/>
      <c r="D180" s="23"/>
      <c r="E180" s="23"/>
      <c r="F180" s="23"/>
      <c r="G180" s="23"/>
      <c r="H180" s="23"/>
      <c r="I180" s="18">
        <f t="shared" si="2"/>
        <v>0</v>
      </c>
    </row>
    <row r="181" spans="1:9">
      <c r="A181" s="22"/>
      <c r="B181" s="22"/>
      <c r="C181" s="22"/>
      <c r="D181" s="23"/>
      <c r="E181" s="23"/>
      <c r="F181" s="23"/>
      <c r="G181" s="23"/>
      <c r="H181" s="23"/>
      <c r="I181" s="18">
        <f t="shared" si="2"/>
        <v>0</v>
      </c>
    </row>
    <row r="182" spans="1:9">
      <c r="A182" s="22"/>
      <c r="B182" s="22"/>
      <c r="C182" s="22"/>
      <c r="D182" s="23"/>
      <c r="E182" s="23"/>
      <c r="F182" s="23"/>
      <c r="G182" s="23"/>
      <c r="H182" s="23"/>
      <c r="I182" s="18">
        <f t="shared" si="2"/>
        <v>0</v>
      </c>
    </row>
    <row r="183" spans="1:9">
      <c r="A183" s="22"/>
      <c r="B183" s="22"/>
      <c r="C183" s="22"/>
      <c r="D183" s="23"/>
      <c r="E183" s="23"/>
      <c r="F183" s="23"/>
      <c r="G183" s="23"/>
      <c r="H183" s="23"/>
      <c r="I183" s="18">
        <f t="shared" si="2"/>
        <v>0</v>
      </c>
    </row>
    <row r="184" spans="1:9">
      <c r="A184" s="22"/>
      <c r="B184" s="22"/>
      <c r="C184" s="22"/>
      <c r="D184" s="23"/>
      <c r="E184" s="23"/>
      <c r="F184" s="23"/>
      <c r="G184" s="23"/>
      <c r="H184" s="23"/>
      <c r="I184" s="18">
        <f t="shared" si="2"/>
        <v>0</v>
      </c>
    </row>
    <row r="185" spans="1:9">
      <c r="A185" s="22"/>
      <c r="B185" s="22"/>
      <c r="C185" s="22"/>
      <c r="D185" s="23"/>
      <c r="E185" s="23"/>
      <c r="F185" s="23"/>
      <c r="G185" s="23"/>
      <c r="H185" s="23"/>
      <c r="I185" s="18">
        <f t="shared" si="2"/>
        <v>0</v>
      </c>
    </row>
    <row r="186" spans="1:9">
      <c r="A186" s="22"/>
      <c r="B186" s="22"/>
      <c r="C186" s="22"/>
      <c r="D186" s="23"/>
      <c r="E186" s="23"/>
      <c r="F186" s="23"/>
      <c r="G186" s="23"/>
      <c r="H186" s="23"/>
      <c r="I186" s="18">
        <f t="shared" si="2"/>
        <v>0</v>
      </c>
    </row>
    <row r="187" spans="1:9">
      <c r="A187" s="22"/>
      <c r="B187" s="22"/>
      <c r="C187" s="22"/>
      <c r="D187" s="23"/>
      <c r="E187" s="23"/>
      <c r="F187" s="23"/>
      <c r="G187" s="23"/>
      <c r="H187" s="23"/>
      <c r="I187" s="18">
        <f t="shared" si="2"/>
        <v>0</v>
      </c>
    </row>
    <row r="188" spans="1:9">
      <c r="A188" s="22"/>
      <c r="B188" s="22"/>
      <c r="C188" s="22"/>
      <c r="D188" s="23"/>
      <c r="E188" s="23"/>
      <c r="F188" s="23"/>
      <c r="G188" s="23"/>
      <c r="H188" s="23"/>
      <c r="I188" s="18">
        <f t="shared" si="2"/>
        <v>0</v>
      </c>
    </row>
    <row r="189" spans="1:9">
      <c r="A189" s="22"/>
      <c r="B189" s="22"/>
      <c r="C189" s="22"/>
      <c r="D189" s="23"/>
      <c r="E189" s="23"/>
      <c r="F189" s="23"/>
      <c r="G189" s="23"/>
      <c r="H189" s="23"/>
      <c r="I189" s="18">
        <f t="shared" si="2"/>
        <v>0</v>
      </c>
    </row>
    <row r="190" spans="1:9">
      <c r="A190" s="22"/>
      <c r="B190" s="22"/>
      <c r="C190" s="22"/>
      <c r="D190" s="23"/>
      <c r="E190" s="23"/>
      <c r="F190" s="23"/>
      <c r="G190" s="23"/>
      <c r="H190" s="23"/>
      <c r="I190" s="18">
        <f t="shared" si="2"/>
        <v>0</v>
      </c>
    </row>
    <row r="191" spans="1:9">
      <c r="A191" s="22"/>
      <c r="B191" s="22"/>
      <c r="C191" s="22"/>
      <c r="D191" s="23"/>
      <c r="E191" s="23"/>
      <c r="F191" s="23"/>
      <c r="G191" s="23"/>
      <c r="H191" s="23"/>
      <c r="I191" s="18">
        <f t="shared" si="2"/>
        <v>0</v>
      </c>
    </row>
    <row r="192" spans="1:9">
      <c r="A192" s="22"/>
      <c r="B192" s="22"/>
      <c r="C192" s="22"/>
      <c r="D192" s="23"/>
      <c r="E192" s="23"/>
      <c r="F192" s="23"/>
      <c r="G192" s="23"/>
      <c r="H192" s="23"/>
      <c r="I192" s="18">
        <f t="shared" si="2"/>
        <v>0</v>
      </c>
    </row>
    <row r="193" spans="1:9">
      <c r="A193" s="22"/>
      <c r="B193" s="22"/>
      <c r="C193" s="22"/>
      <c r="D193" s="23"/>
      <c r="E193" s="23"/>
      <c r="F193" s="23"/>
      <c r="G193" s="23"/>
      <c r="H193" s="23"/>
      <c r="I193" s="18">
        <f t="shared" si="2"/>
        <v>0</v>
      </c>
    </row>
    <row r="194" spans="1:9">
      <c r="A194" s="22"/>
      <c r="B194" s="22"/>
      <c r="C194" s="22"/>
      <c r="D194" s="23"/>
      <c r="E194" s="23"/>
      <c r="F194" s="23"/>
      <c r="G194" s="23"/>
      <c r="H194" s="23"/>
      <c r="I194" s="18">
        <f t="shared" si="2"/>
        <v>0</v>
      </c>
    </row>
    <row r="195" spans="1:9">
      <c r="A195" s="22"/>
      <c r="B195" s="22"/>
      <c r="C195" s="22"/>
      <c r="D195" s="23"/>
      <c r="E195" s="23"/>
      <c r="F195" s="23"/>
      <c r="G195" s="23"/>
      <c r="H195" s="23"/>
      <c r="I195" s="18">
        <f t="shared" si="2"/>
        <v>0</v>
      </c>
    </row>
    <row r="196" spans="1:9">
      <c r="A196" s="22"/>
      <c r="B196" s="22"/>
      <c r="C196" s="22"/>
      <c r="D196" s="23"/>
      <c r="E196" s="23"/>
      <c r="F196" s="23"/>
      <c r="G196" s="23"/>
      <c r="H196" s="23"/>
      <c r="I196" s="18">
        <f t="shared" si="2"/>
        <v>0</v>
      </c>
    </row>
    <row r="197" spans="1:9">
      <c r="A197" s="22"/>
      <c r="B197" s="22"/>
      <c r="C197" s="22"/>
      <c r="D197" s="23"/>
      <c r="E197" s="23"/>
      <c r="F197" s="23"/>
      <c r="G197" s="23"/>
      <c r="H197" s="23"/>
      <c r="I197" s="18">
        <f t="shared" si="2"/>
        <v>0</v>
      </c>
    </row>
    <row r="198" spans="1:9">
      <c r="A198" s="22"/>
      <c r="B198" s="22"/>
      <c r="C198" s="22"/>
      <c r="D198" s="23"/>
      <c r="E198" s="23"/>
      <c r="F198" s="23"/>
      <c r="G198" s="23"/>
      <c r="H198" s="23"/>
      <c r="I198" s="18">
        <f t="shared" ref="I198:I210" si="3">IFERROR(VALUE(LEFT(TRIM(C198),4)),0)</f>
        <v>0</v>
      </c>
    </row>
    <row r="199" spans="1:9">
      <c r="A199" s="22"/>
      <c r="B199" s="22"/>
      <c r="C199" s="22"/>
      <c r="D199" s="23"/>
      <c r="E199" s="23"/>
      <c r="F199" s="23"/>
      <c r="G199" s="23"/>
      <c r="H199" s="23"/>
      <c r="I199" s="18">
        <f t="shared" si="3"/>
        <v>0</v>
      </c>
    </row>
    <row r="200" spans="1:9">
      <c r="A200" s="22"/>
      <c r="B200" s="22"/>
      <c r="C200" s="22"/>
      <c r="D200" s="23"/>
      <c r="E200" s="23"/>
      <c r="F200" s="23"/>
      <c r="G200" s="23"/>
      <c r="H200" s="23"/>
      <c r="I200" s="18">
        <f t="shared" si="3"/>
        <v>0</v>
      </c>
    </row>
    <row r="201" spans="1:9">
      <c r="A201" s="22"/>
      <c r="B201" s="22"/>
      <c r="C201" s="22"/>
      <c r="D201" s="23"/>
      <c r="E201" s="23"/>
      <c r="F201" s="23"/>
      <c r="G201" s="23"/>
      <c r="H201" s="23"/>
      <c r="I201" s="18">
        <f t="shared" si="3"/>
        <v>0</v>
      </c>
    </row>
    <row r="202" spans="1:9">
      <c r="A202" s="22"/>
      <c r="B202" s="22"/>
      <c r="C202" s="22"/>
      <c r="D202" s="23"/>
      <c r="E202" s="23"/>
      <c r="F202" s="23"/>
      <c r="G202" s="23"/>
      <c r="H202" s="23"/>
      <c r="I202" s="18">
        <f t="shared" si="3"/>
        <v>0</v>
      </c>
    </row>
    <row r="203" spans="1:9">
      <c r="A203" s="22"/>
      <c r="B203" s="22"/>
      <c r="C203" s="22"/>
      <c r="D203" s="23"/>
      <c r="E203" s="23"/>
      <c r="F203" s="23"/>
      <c r="G203" s="23"/>
      <c r="H203" s="23"/>
      <c r="I203" s="18">
        <f t="shared" si="3"/>
        <v>0</v>
      </c>
    </row>
    <row r="204" spans="1:9">
      <c r="A204" s="22"/>
      <c r="B204" s="22"/>
      <c r="C204" s="22"/>
      <c r="D204" s="23"/>
      <c r="E204" s="23"/>
      <c r="F204" s="23"/>
      <c r="G204" s="23"/>
      <c r="H204" s="23"/>
      <c r="I204" s="18">
        <f t="shared" si="3"/>
        <v>0</v>
      </c>
    </row>
    <row r="205" spans="1:9">
      <c r="A205" s="22"/>
      <c r="B205" s="22"/>
      <c r="C205" s="22"/>
      <c r="D205" s="23"/>
      <c r="E205" s="23"/>
      <c r="F205" s="23"/>
      <c r="G205" s="23"/>
      <c r="H205" s="23"/>
      <c r="I205" s="18">
        <f t="shared" si="3"/>
        <v>0</v>
      </c>
    </row>
    <row r="206" spans="1:9">
      <c r="A206" s="22"/>
      <c r="B206" s="22"/>
      <c r="C206" s="22"/>
      <c r="D206" s="23"/>
      <c r="E206" s="23"/>
      <c r="F206" s="23"/>
      <c r="G206" s="23"/>
      <c r="H206" s="23"/>
      <c r="I206" s="18">
        <f t="shared" si="3"/>
        <v>0</v>
      </c>
    </row>
    <row r="207" spans="1:9">
      <c r="A207" s="22"/>
      <c r="B207" s="22"/>
      <c r="C207" s="22"/>
      <c r="D207" s="23"/>
      <c r="E207" s="23"/>
      <c r="F207" s="23"/>
      <c r="G207" s="23"/>
      <c r="H207" s="23"/>
      <c r="I207" s="18">
        <f t="shared" si="3"/>
        <v>0</v>
      </c>
    </row>
    <row r="208" spans="1:9">
      <c r="A208" s="22"/>
      <c r="B208" s="22"/>
      <c r="C208" s="22"/>
      <c r="D208" s="23"/>
      <c r="E208" s="23"/>
      <c r="F208" s="23"/>
      <c r="G208" s="23"/>
      <c r="H208" s="23"/>
      <c r="I208" s="18">
        <f t="shared" si="3"/>
        <v>0</v>
      </c>
    </row>
    <row r="209" spans="1:9">
      <c r="A209" s="22"/>
      <c r="B209" s="22"/>
      <c r="C209" s="22"/>
      <c r="D209" s="23"/>
      <c r="E209" s="23"/>
      <c r="F209" s="23"/>
      <c r="G209" s="23"/>
      <c r="H209" s="23"/>
      <c r="I209" s="18">
        <f t="shared" si="3"/>
        <v>0</v>
      </c>
    </row>
    <row r="210" spans="1:9">
      <c r="A210" s="22"/>
      <c r="B210" s="22"/>
      <c r="C210" s="22"/>
      <c r="D210" s="23"/>
      <c r="E210" s="23"/>
      <c r="F210" s="23"/>
      <c r="G210" s="23"/>
      <c r="H210" s="23"/>
      <c r="I210" s="18">
        <f t="shared" si="3"/>
        <v>0</v>
      </c>
    </row>
  </sheetData>
  <mergeCells count="2">
    <mergeCell ref="A1:I2"/>
    <mergeCell ref="A3:I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20"/>
  <sheetViews>
    <sheetView showGridLines="0" workbookViewId="0">
      <selection sqref="A1:J2"/>
    </sheetView>
  </sheetViews>
  <sheetFormatPr defaultRowHeight="13.8"/>
  <cols>
    <col min="1" max="1" width="9" customWidth="1"/>
    <col min="2" max="2" width="32" customWidth="1"/>
    <col min="3" max="7" width="18" customWidth="1"/>
    <col min="8" max="10" width="24" customWidth="1"/>
  </cols>
  <sheetData>
    <row r="1" spans="1:10">
      <c r="A1" s="48" t="s">
        <v>198</v>
      </c>
      <c r="B1" s="48"/>
      <c r="C1" s="48"/>
      <c r="D1" s="48"/>
      <c r="E1" s="48"/>
      <c r="F1" s="48"/>
      <c r="G1" s="48"/>
      <c r="H1" s="48"/>
      <c r="I1" s="48"/>
      <c r="J1" s="48"/>
    </row>
    <row r="2" spans="1:10">
      <c r="A2" s="48"/>
      <c r="B2" s="48"/>
      <c r="C2" s="48"/>
      <c r="D2" s="48"/>
      <c r="E2" s="48"/>
      <c r="F2" s="48"/>
      <c r="G2" s="48"/>
      <c r="H2" s="48"/>
      <c r="I2" s="48"/>
      <c r="J2" s="48"/>
    </row>
    <row r="3" spans="1:10">
      <c r="A3" s="1"/>
      <c r="B3" s="1"/>
      <c r="C3" s="1"/>
      <c r="D3" s="1"/>
      <c r="E3" s="1"/>
      <c r="F3" s="1"/>
      <c r="G3" s="1"/>
      <c r="H3" s="1"/>
      <c r="I3" s="1"/>
      <c r="J3" s="1"/>
    </row>
    <row r="4" spans="1:10" ht="24">
      <c r="A4" s="12" t="s">
        <v>54</v>
      </c>
      <c r="B4" s="12" t="s">
        <v>55</v>
      </c>
      <c r="C4" s="12" t="s">
        <v>61</v>
      </c>
      <c r="D4" s="12" t="s">
        <v>65</v>
      </c>
      <c r="E4" s="12" t="s">
        <v>199</v>
      </c>
      <c r="F4" s="12" t="s">
        <v>67</v>
      </c>
      <c r="G4" s="12" t="s">
        <v>200</v>
      </c>
      <c r="H4" s="12" t="s">
        <v>201</v>
      </c>
      <c r="I4" s="12" t="s">
        <v>202</v>
      </c>
      <c r="J4" s="12" t="s">
        <v>203</v>
      </c>
    </row>
    <row r="5" spans="1:10">
      <c r="A5" s="13"/>
      <c r="B5" s="13"/>
      <c r="C5" s="13"/>
      <c r="D5" s="13"/>
      <c r="E5" s="13"/>
      <c r="F5" s="13"/>
      <c r="G5" s="13"/>
      <c r="H5" s="13"/>
      <c r="I5" s="13"/>
      <c r="J5" s="13"/>
    </row>
    <row r="6" spans="1:10">
      <c r="A6" s="24">
        <f>BUDGET!A6</f>
        <v>1010</v>
      </c>
      <c r="B6" s="24" t="str">
        <f>BUDGET!B6</f>
        <v>Plan / Site Plans</v>
      </c>
      <c r="C6" s="25">
        <f>BUDGET!H6</f>
        <v>0</v>
      </c>
      <c r="D6" s="25">
        <f>SUMIF('QB JOB COST IMPORT'!$I$6:$I$210,A6,'QB JOB COST IMPORT'!$F$6:$F$210)</f>
        <v>0</v>
      </c>
      <c r="E6" s="25">
        <f>SUM('DRAW HISTORY'!C6:L6)</f>
        <v>0</v>
      </c>
      <c r="F6" s="16">
        <f t="shared" ref="F6:F37" si="0">IF(H6="Yes",D6-E6,0)</f>
        <v>0</v>
      </c>
      <c r="G6" s="25">
        <f t="shared" ref="G6:G37" si="1">D6-C6</f>
        <v>0</v>
      </c>
      <c r="H6" s="24" t="str">
        <f>BUDGET!J6</f>
        <v>Yes</v>
      </c>
      <c r="I6" s="24" t="str">
        <f t="shared" ref="I6:I37" si="2">IF(D6=0,IF(C6=0,"NO COST / NO BUDGET","NO QB ACTUAL"),"MATCHED")</f>
        <v>NO COST / NO BUDGET</v>
      </c>
      <c r="J6" s="24" t="str">
        <f t="shared" ref="J6:J37" si="3">IF(E6&gt;D6,"PRIOR BILLING EXCEEDS QB ACTUAL",IF(G6&gt;0,"OVER BUDGET","OK"))</f>
        <v>OK</v>
      </c>
    </row>
    <row r="7" spans="1:10">
      <c r="A7" s="24">
        <f>BUDGET!A7</f>
        <v>1011</v>
      </c>
      <c r="B7" s="24" t="str">
        <f>BUDGET!B7</f>
        <v>Permits/Fees/Water/Sewer</v>
      </c>
      <c r="C7" s="25">
        <f>BUDGET!H7</f>
        <v>0</v>
      </c>
      <c r="D7" s="25">
        <f>SUMIF('QB JOB COST IMPORT'!$I$6:$I$210,A7,'QB JOB COST IMPORT'!$F$6:$F$210)</f>
        <v>0</v>
      </c>
      <c r="E7" s="25">
        <f>SUM('DRAW HISTORY'!C7:L7)</f>
        <v>0</v>
      </c>
      <c r="F7" s="16">
        <f t="shared" si="0"/>
        <v>0</v>
      </c>
      <c r="G7" s="25">
        <f t="shared" si="1"/>
        <v>0</v>
      </c>
      <c r="H7" s="24" t="str">
        <f>BUDGET!J7</f>
        <v>Yes</v>
      </c>
      <c r="I7" s="24" t="str">
        <f t="shared" si="2"/>
        <v>NO COST / NO BUDGET</v>
      </c>
      <c r="J7" s="24" t="str">
        <f t="shared" si="3"/>
        <v>OK</v>
      </c>
    </row>
    <row r="8" spans="1:10">
      <c r="A8" s="24">
        <f>BUDGET!A8</f>
        <v>1020</v>
      </c>
      <c r="B8" s="24" t="str">
        <f>BUDGET!B8</f>
        <v>Surveys</v>
      </c>
      <c r="C8" s="25">
        <f>BUDGET!H8</f>
        <v>0</v>
      </c>
      <c r="D8" s="25">
        <f>SUMIF('QB JOB COST IMPORT'!$I$6:$I$210,A8,'QB JOB COST IMPORT'!$F$6:$F$210)</f>
        <v>0</v>
      </c>
      <c r="E8" s="25">
        <f>SUM('DRAW HISTORY'!C8:L8)</f>
        <v>0</v>
      </c>
      <c r="F8" s="16">
        <f t="shared" si="0"/>
        <v>0</v>
      </c>
      <c r="G8" s="25">
        <f t="shared" si="1"/>
        <v>0</v>
      </c>
      <c r="H8" s="24" t="str">
        <f>BUDGET!J8</f>
        <v>Yes</v>
      </c>
      <c r="I8" s="24" t="str">
        <f t="shared" si="2"/>
        <v>NO COST / NO BUDGET</v>
      </c>
      <c r="J8" s="24" t="str">
        <f t="shared" si="3"/>
        <v>OK</v>
      </c>
    </row>
    <row r="9" spans="1:10">
      <c r="A9" s="24">
        <f>BUDGET!A9</f>
        <v>1070</v>
      </c>
      <c r="B9" s="24" t="str">
        <f>BUDGET!B9</f>
        <v>Builders Risk Insurance</v>
      </c>
      <c r="C9" s="25">
        <f>BUDGET!H9</f>
        <v>0</v>
      </c>
      <c r="D9" s="25">
        <f>SUMIF('QB JOB COST IMPORT'!$I$6:$I$210,A9,'QB JOB COST IMPORT'!$F$6:$F$210)</f>
        <v>0</v>
      </c>
      <c r="E9" s="25">
        <f>SUM('DRAW HISTORY'!C9:L9)</f>
        <v>0</v>
      </c>
      <c r="F9" s="16">
        <f t="shared" si="0"/>
        <v>0</v>
      </c>
      <c r="G9" s="25">
        <f t="shared" si="1"/>
        <v>0</v>
      </c>
      <c r="H9" s="24" t="str">
        <f>BUDGET!J9</f>
        <v>Yes</v>
      </c>
      <c r="I9" s="24" t="str">
        <f t="shared" si="2"/>
        <v>NO COST / NO BUDGET</v>
      </c>
      <c r="J9" s="24" t="str">
        <f t="shared" si="3"/>
        <v>OK</v>
      </c>
    </row>
    <row r="10" spans="1:10">
      <c r="A10" s="24">
        <f>BUDGET!A10</f>
        <v>1080</v>
      </c>
      <c r="B10" s="24" t="str">
        <f>BUDGET!B10</f>
        <v>Reinspection Fees</v>
      </c>
      <c r="C10" s="25">
        <f>BUDGET!H10</f>
        <v>0</v>
      </c>
      <c r="D10" s="25">
        <f>SUMIF('QB JOB COST IMPORT'!$I$6:$I$210,A10,'QB JOB COST IMPORT'!$F$6:$F$210)</f>
        <v>0</v>
      </c>
      <c r="E10" s="25">
        <f>SUM('DRAW HISTORY'!C10:L10)</f>
        <v>0</v>
      </c>
      <c r="F10" s="16">
        <f t="shared" si="0"/>
        <v>0</v>
      </c>
      <c r="G10" s="25">
        <f t="shared" si="1"/>
        <v>0</v>
      </c>
      <c r="H10" s="24" t="str">
        <f>BUDGET!J10</f>
        <v>Yes</v>
      </c>
      <c r="I10" s="24" t="str">
        <f t="shared" si="2"/>
        <v>NO COST / NO BUDGET</v>
      </c>
      <c r="J10" s="24" t="str">
        <f t="shared" si="3"/>
        <v>OK</v>
      </c>
    </row>
    <row r="11" spans="1:10">
      <c r="A11" s="24">
        <f>BUDGET!A11</f>
        <v>2010</v>
      </c>
      <c r="B11" s="24" t="str">
        <f>BUDGET!B11</f>
        <v>Grading - Clear Lot</v>
      </c>
      <c r="C11" s="25">
        <f>BUDGET!H11</f>
        <v>0</v>
      </c>
      <c r="D11" s="25">
        <f>SUMIF('QB JOB COST IMPORT'!$I$6:$I$210,A11,'QB JOB COST IMPORT'!$F$6:$F$210)</f>
        <v>0</v>
      </c>
      <c r="E11" s="25">
        <f>SUM('DRAW HISTORY'!C11:L11)</f>
        <v>0</v>
      </c>
      <c r="F11" s="16">
        <f t="shared" si="0"/>
        <v>0</v>
      </c>
      <c r="G11" s="25">
        <f t="shared" si="1"/>
        <v>0</v>
      </c>
      <c r="H11" s="24" t="str">
        <f>BUDGET!J11</f>
        <v>Yes</v>
      </c>
      <c r="I11" s="24" t="str">
        <f t="shared" si="2"/>
        <v>NO COST / NO BUDGET</v>
      </c>
      <c r="J11" s="24" t="str">
        <f t="shared" si="3"/>
        <v>OK</v>
      </c>
    </row>
    <row r="12" spans="1:10">
      <c r="A12" s="24">
        <f>BUDGET!A12</f>
        <v>2011</v>
      </c>
      <c r="B12" s="24" t="str">
        <f>BUDGET!B12</f>
        <v>Grading - Haul Debris</v>
      </c>
      <c r="C12" s="25">
        <f>BUDGET!H12</f>
        <v>0</v>
      </c>
      <c r="D12" s="25">
        <f>SUMIF('QB JOB COST IMPORT'!$I$6:$I$210,A12,'QB JOB COST IMPORT'!$F$6:$F$210)</f>
        <v>0</v>
      </c>
      <c r="E12" s="25">
        <f>SUM('DRAW HISTORY'!C12:L12)</f>
        <v>0</v>
      </c>
      <c r="F12" s="16">
        <f t="shared" si="0"/>
        <v>0</v>
      </c>
      <c r="G12" s="25">
        <f t="shared" si="1"/>
        <v>0</v>
      </c>
      <c r="H12" s="24" t="str">
        <f>BUDGET!J12</f>
        <v>Yes</v>
      </c>
      <c r="I12" s="24" t="str">
        <f t="shared" si="2"/>
        <v>NO COST / NO BUDGET</v>
      </c>
      <c r="J12" s="24" t="str">
        <f t="shared" si="3"/>
        <v>OK</v>
      </c>
    </row>
    <row r="13" spans="1:10">
      <c r="A13" s="24">
        <f>BUDGET!A13</f>
        <v>2012</v>
      </c>
      <c r="B13" s="24" t="str">
        <f>BUDGET!B13</f>
        <v>Grading - Cut Foundation</v>
      </c>
      <c r="C13" s="25">
        <f>BUDGET!H13</f>
        <v>0</v>
      </c>
      <c r="D13" s="25">
        <f>SUMIF('QB JOB COST IMPORT'!$I$6:$I$210,A13,'QB JOB COST IMPORT'!$F$6:$F$210)</f>
        <v>0</v>
      </c>
      <c r="E13" s="25">
        <f>SUM('DRAW HISTORY'!C13:L13)</f>
        <v>0</v>
      </c>
      <c r="F13" s="16">
        <f t="shared" si="0"/>
        <v>0</v>
      </c>
      <c r="G13" s="25">
        <f t="shared" si="1"/>
        <v>0</v>
      </c>
      <c r="H13" s="24" t="str">
        <f>BUDGET!J13</f>
        <v>Yes</v>
      </c>
      <c r="I13" s="24" t="str">
        <f t="shared" si="2"/>
        <v>NO COST / NO BUDGET</v>
      </c>
      <c r="J13" s="24" t="str">
        <f t="shared" si="3"/>
        <v>OK</v>
      </c>
    </row>
    <row r="14" spans="1:10">
      <c r="A14" s="24">
        <f>BUDGET!A14</f>
        <v>2013</v>
      </c>
      <c r="B14" s="24" t="str">
        <f>BUDGET!B14</f>
        <v>Grading - Backfill Found</v>
      </c>
      <c r="C14" s="25">
        <f>BUDGET!H14</f>
        <v>0</v>
      </c>
      <c r="D14" s="25">
        <f>SUMIF('QB JOB COST IMPORT'!$I$6:$I$210,A14,'QB JOB COST IMPORT'!$F$6:$F$210)</f>
        <v>0</v>
      </c>
      <c r="E14" s="25">
        <f>SUM('DRAW HISTORY'!C14:L14)</f>
        <v>0</v>
      </c>
      <c r="F14" s="16">
        <f t="shared" si="0"/>
        <v>0</v>
      </c>
      <c r="G14" s="25">
        <f t="shared" si="1"/>
        <v>0</v>
      </c>
      <c r="H14" s="24" t="str">
        <f>BUDGET!J14</f>
        <v>Yes</v>
      </c>
      <c r="I14" s="24" t="str">
        <f t="shared" si="2"/>
        <v>NO COST / NO BUDGET</v>
      </c>
      <c r="J14" s="24" t="str">
        <f t="shared" si="3"/>
        <v>OK</v>
      </c>
    </row>
    <row r="15" spans="1:10">
      <c r="A15" s="24">
        <f>BUDGET!A15</f>
        <v>2014</v>
      </c>
      <c r="B15" s="24" t="str">
        <f>BUDGET!B15</f>
        <v>Grading - Cut Drive</v>
      </c>
      <c r="C15" s="25">
        <f>BUDGET!H15</f>
        <v>0</v>
      </c>
      <c r="D15" s="25">
        <f>SUMIF('QB JOB COST IMPORT'!$I$6:$I$210,A15,'QB JOB COST IMPORT'!$F$6:$F$210)</f>
        <v>0</v>
      </c>
      <c r="E15" s="25">
        <f>SUM('DRAW HISTORY'!C15:L15)</f>
        <v>0</v>
      </c>
      <c r="F15" s="16">
        <f t="shared" si="0"/>
        <v>0</v>
      </c>
      <c r="G15" s="25">
        <f t="shared" si="1"/>
        <v>0</v>
      </c>
      <c r="H15" s="24" t="str">
        <f>BUDGET!J15</f>
        <v>Yes</v>
      </c>
      <c r="I15" s="24" t="str">
        <f t="shared" si="2"/>
        <v>NO COST / NO BUDGET</v>
      </c>
      <c r="J15" s="24" t="str">
        <f t="shared" si="3"/>
        <v>OK</v>
      </c>
    </row>
    <row r="16" spans="1:10">
      <c r="A16" s="24">
        <f>BUDGET!A16</f>
        <v>2015</v>
      </c>
      <c r="B16" s="24" t="str">
        <f>BUDGET!B16</f>
        <v>Grading - Final</v>
      </c>
      <c r="C16" s="25">
        <f>BUDGET!H16</f>
        <v>0</v>
      </c>
      <c r="D16" s="25">
        <f>SUMIF('QB JOB COST IMPORT'!$I$6:$I$210,A16,'QB JOB COST IMPORT'!$F$6:$F$210)</f>
        <v>0</v>
      </c>
      <c r="E16" s="25">
        <f>SUM('DRAW HISTORY'!C16:L16)</f>
        <v>0</v>
      </c>
      <c r="F16" s="16">
        <f t="shared" si="0"/>
        <v>0</v>
      </c>
      <c r="G16" s="25">
        <f t="shared" si="1"/>
        <v>0</v>
      </c>
      <c r="H16" s="24" t="str">
        <f>BUDGET!J16</f>
        <v>Yes</v>
      </c>
      <c r="I16" s="24" t="str">
        <f t="shared" si="2"/>
        <v>NO COST / NO BUDGET</v>
      </c>
      <c r="J16" s="24" t="str">
        <f t="shared" si="3"/>
        <v>OK</v>
      </c>
    </row>
    <row r="17" spans="1:10">
      <c r="A17" s="24">
        <f>BUDGET!A17</f>
        <v>2016</v>
      </c>
      <c r="B17" s="24" t="str">
        <f>BUDGET!B17</f>
        <v>Grading - Misc</v>
      </c>
      <c r="C17" s="25">
        <f>BUDGET!H17</f>
        <v>0</v>
      </c>
      <c r="D17" s="25">
        <f>SUMIF('QB JOB COST IMPORT'!$I$6:$I$210,A17,'QB JOB COST IMPORT'!$F$6:$F$210)</f>
        <v>0</v>
      </c>
      <c r="E17" s="25">
        <f>SUM('DRAW HISTORY'!C17:L17)</f>
        <v>0</v>
      </c>
      <c r="F17" s="16">
        <f t="shared" si="0"/>
        <v>0</v>
      </c>
      <c r="G17" s="25">
        <f t="shared" si="1"/>
        <v>0</v>
      </c>
      <c r="H17" s="24" t="str">
        <f>BUDGET!J17</f>
        <v>Yes</v>
      </c>
      <c r="I17" s="24" t="str">
        <f t="shared" si="2"/>
        <v>NO COST / NO BUDGET</v>
      </c>
      <c r="J17" s="24" t="str">
        <f t="shared" si="3"/>
        <v>OK</v>
      </c>
    </row>
    <row r="18" spans="1:10">
      <c r="A18" s="24">
        <f>BUDGET!A18</f>
        <v>2021</v>
      </c>
      <c r="B18" s="24" t="str">
        <f>BUDGET!B18</f>
        <v>Retaining Walls - Sub</v>
      </c>
      <c r="C18" s="25">
        <f>BUDGET!H18</f>
        <v>0</v>
      </c>
      <c r="D18" s="25">
        <f>SUMIF('QB JOB COST IMPORT'!$I$6:$I$210,A18,'QB JOB COST IMPORT'!$F$6:$F$210)</f>
        <v>0</v>
      </c>
      <c r="E18" s="25">
        <f>SUM('DRAW HISTORY'!C18:L18)</f>
        <v>0</v>
      </c>
      <c r="F18" s="16">
        <f t="shared" si="0"/>
        <v>0</v>
      </c>
      <c r="G18" s="25">
        <f t="shared" si="1"/>
        <v>0</v>
      </c>
      <c r="H18" s="24" t="str">
        <f>BUDGET!J18</f>
        <v>Yes</v>
      </c>
      <c r="I18" s="24" t="str">
        <f t="shared" si="2"/>
        <v>NO COST / NO BUDGET</v>
      </c>
      <c r="J18" s="24" t="str">
        <f t="shared" si="3"/>
        <v>OK</v>
      </c>
    </row>
    <row r="19" spans="1:10">
      <c r="A19" s="24">
        <f>BUDGET!A19</f>
        <v>2030</v>
      </c>
      <c r="B19" s="24" t="str">
        <f>BUDGET!B19</f>
        <v>Erosion Control</v>
      </c>
      <c r="C19" s="25">
        <f>BUDGET!H19</f>
        <v>0</v>
      </c>
      <c r="D19" s="25">
        <f>SUMIF('QB JOB COST IMPORT'!$I$6:$I$210,A19,'QB JOB COST IMPORT'!$F$6:$F$210)</f>
        <v>0</v>
      </c>
      <c r="E19" s="25">
        <f>SUM('DRAW HISTORY'!C19:L19)</f>
        <v>0</v>
      </c>
      <c r="F19" s="16">
        <f t="shared" si="0"/>
        <v>0</v>
      </c>
      <c r="G19" s="25">
        <f t="shared" si="1"/>
        <v>0</v>
      </c>
      <c r="H19" s="24" t="str">
        <f>BUDGET!J19</f>
        <v>Yes</v>
      </c>
      <c r="I19" s="24" t="str">
        <f t="shared" si="2"/>
        <v>NO COST / NO BUDGET</v>
      </c>
      <c r="J19" s="24" t="str">
        <f t="shared" si="3"/>
        <v>OK</v>
      </c>
    </row>
    <row r="20" spans="1:10">
      <c r="A20" s="24">
        <f>BUDGET!A20</f>
        <v>2031</v>
      </c>
      <c r="B20" s="24" t="str">
        <f>BUDGET!B20</f>
        <v>Gravel</v>
      </c>
      <c r="C20" s="25">
        <f>BUDGET!H20</f>
        <v>0</v>
      </c>
      <c r="D20" s="25">
        <f>SUMIF('QB JOB COST IMPORT'!$I$6:$I$210,A20,'QB JOB COST IMPORT'!$F$6:$F$210)</f>
        <v>0</v>
      </c>
      <c r="E20" s="25">
        <f>SUM('DRAW HISTORY'!C20:L20)</f>
        <v>0</v>
      </c>
      <c r="F20" s="16">
        <f t="shared" si="0"/>
        <v>0</v>
      </c>
      <c r="G20" s="25">
        <f t="shared" si="1"/>
        <v>0</v>
      </c>
      <c r="H20" s="24" t="str">
        <f>BUDGET!J20</f>
        <v>Yes</v>
      </c>
      <c r="I20" s="24" t="str">
        <f t="shared" si="2"/>
        <v>NO COST / NO BUDGET</v>
      </c>
      <c r="J20" s="24" t="str">
        <f t="shared" si="3"/>
        <v>OK</v>
      </c>
    </row>
    <row r="21" spans="1:10">
      <c r="A21" s="24">
        <f>BUDGET!A21</f>
        <v>3005</v>
      </c>
      <c r="B21" s="24" t="str">
        <f>BUDGET!B21</f>
        <v>Pump Concrete</v>
      </c>
      <c r="C21" s="25">
        <f>BUDGET!H21</f>
        <v>0</v>
      </c>
      <c r="D21" s="25">
        <f>SUMIF('QB JOB COST IMPORT'!$I$6:$I$210,A21,'QB JOB COST IMPORT'!$F$6:$F$210)</f>
        <v>0</v>
      </c>
      <c r="E21" s="25">
        <f>SUM('DRAW HISTORY'!C21:L21)</f>
        <v>0</v>
      </c>
      <c r="F21" s="16">
        <f t="shared" si="0"/>
        <v>0</v>
      </c>
      <c r="G21" s="25">
        <f t="shared" si="1"/>
        <v>0</v>
      </c>
      <c r="H21" s="24" t="str">
        <f>BUDGET!J21</f>
        <v>Yes</v>
      </c>
      <c r="I21" s="24" t="str">
        <f t="shared" si="2"/>
        <v>NO COST / NO BUDGET</v>
      </c>
      <c r="J21" s="24" t="str">
        <f t="shared" si="3"/>
        <v>OK</v>
      </c>
    </row>
    <row r="22" spans="1:10">
      <c r="A22" s="24">
        <f>BUDGET!A22</f>
        <v>3010</v>
      </c>
      <c r="B22" s="24" t="str">
        <f>BUDGET!B22</f>
        <v>Footing - Material</v>
      </c>
      <c r="C22" s="25">
        <f>BUDGET!H22</f>
        <v>0</v>
      </c>
      <c r="D22" s="25">
        <f>SUMIF('QB JOB COST IMPORT'!$I$6:$I$210,A22,'QB JOB COST IMPORT'!$F$6:$F$210)</f>
        <v>0</v>
      </c>
      <c r="E22" s="25">
        <f>SUM('DRAW HISTORY'!C22:L22)</f>
        <v>0</v>
      </c>
      <c r="F22" s="16">
        <f t="shared" si="0"/>
        <v>0</v>
      </c>
      <c r="G22" s="25">
        <f t="shared" si="1"/>
        <v>0</v>
      </c>
      <c r="H22" s="24" t="str">
        <f>BUDGET!J22</f>
        <v>Yes</v>
      </c>
      <c r="I22" s="24" t="str">
        <f t="shared" si="2"/>
        <v>NO COST / NO BUDGET</v>
      </c>
      <c r="J22" s="24" t="str">
        <f t="shared" si="3"/>
        <v>OK</v>
      </c>
    </row>
    <row r="23" spans="1:10">
      <c r="A23" s="24">
        <f>BUDGET!A23</f>
        <v>3011</v>
      </c>
      <c r="B23" s="24" t="str">
        <f>BUDGET!B23</f>
        <v>Footing - Sub</v>
      </c>
      <c r="C23" s="25">
        <f>BUDGET!H23</f>
        <v>0</v>
      </c>
      <c r="D23" s="25">
        <f>SUMIF('QB JOB COST IMPORT'!$I$6:$I$210,A23,'QB JOB COST IMPORT'!$F$6:$F$210)</f>
        <v>0</v>
      </c>
      <c r="E23" s="25">
        <f>SUM('DRAW HISTORY'!C23:L23)</f>
        <v>0</v>
      </c>
      <c r="F23" s="16">
        <f t="shared" si="0"/>
        <v>0</v>
      </c>
      <c r="G23" s="25">
        <f t="shared" si="1"/>
        <v>0</v>
      </c>
      <c r="H23" s="24" t="str">
        <f>BUDGET!J23</f>
        <v>Yes</v>
      </c>
      <c r="I23" s="24" t="str">
        <f t="shared" si="2"/>
        <v>NO COST / NO BUDGET</v>
      </c>
      <c r="J23" s="24" t="str">
        <f t="shared" si="3"/>
        <v>OK</v>
      </c>
    </row>
    <row r="24" spans="1:10">
      <c r="A24" s="24">
        <f>BUDGET!A24</f>
        <v>3020</v>
      </c>
      <c r="B24" s="24" t="str">
        <f>BUDGET!B24</f>
        <v>Block - Materials</v>
      </c>
      <c r="C24" s="25">
        <f>BUDGET!H24</f>
        <v>0</v>
      </c>
      <c r="D24" s="25">
        <f>SUMIF('QB JOB COST IMPORT'!$I$6:$I$210,A24,'QB JOB COST IMPORT'!$F$6:$F$210)</f>
        <v>0</v>
      </c>
      <c r="E24" s="25">
        <f>SUM('DRAW HISTORY'!C24:L24)</f>
        <v>0</v>
      </c>
      <c r="F24" s="16">
        <f t="shared" si="0"/>
        <v>0</v>
      </c>
      <c r="G24" s="25">
        <f t="shared" si="1"/>
        <v>0</v>
      </c>
      <c r="H24" s="24" t="str">
        <f>BUDGET!J24</f>
        <v>Yes</v>
      </c>
      <c r="I24" s="24" t="str">
        <f t="shared" si="2"/>
        <v>NO COST / NO BUDGET</v>
      </c>
      <c r="J24" s="24" t="str">
        <f t="shared" si="3"/>
        <v>OK</v>
      </c>
    </row>
    <row r="25" spans="1:10">
      <c r="A25" s="24">
        <f>BUDGET!A25</f>
        <v>3021</v>
      </c>
      <c r="B25" s="24" t="str">
        <f>BUDGET!B25</f>
        <v>Block - Sub</v>
      </c>
      <c r="C25" s="25">
        <f>BUDGET!H25</f>
        <v>0</v>
      </c>
      <c r="D25" s="25">
        <f>SUMIF('QB JOB COST IMPORT'!$I$6:$I$210,A25,'QB JOB COST IMPORT'!$F$6:$F$210)</f>
        <v>0</v>
      </c>
      <c r="E25" s="25">
        <f>SUM('DRAW HISTORY'!C25:L25)</f>
        <v>0</v>
      </c>
      <c r="F25" s="16">
        <f t="shared" si="0"/>
        <v>0</v>
      </c>
      <c r="G25" s="25">
        <f t="shared" si="1"/>
        <v>0</v>
      </c>
      <c r="H25" s="24" t="str">
        <f>BUDGET!J25</f>
        <v>Yes</v>
      </c>
      <c r="I25" s="24" t="str">
        <f t="shared" si="2"/>
        <v>NO COST / NO BUDGET</v>
      </c>
      <c r="J25" s="24" t="str">
        <f t="shared" si="3"/>
        <v>OK</v>
      </c>
    </row>
    <row r="26" spans="1:10">
      <c r="A26" s="24">
        <f>BUDGET!A26</f>
        <v>3031</v>
      </c>
      <c r="B26" s="24" t="str">
        <f>BUDGET!B26</f>
        <v>Slab - Sub</v>
      </c>
      <c r="C26" s="25">
        <f>BUDGET!H26</f>
        <v>0</v>
      </c>
      <c r="D26" s="25">
        <f>SUMIF('QB JOB COST IMPORT'!$I$6:$I$210,A26,'QB JOB COST IMPORT'!$F$6:$F$210)</f>
        <v>0</v>
      </c>
      <c r="E26" s="25">
        <f>SUM('DRAW HISTORY'!C26:L26)</f>
        <v>0</v>
      </c>
      <c r="F26" s="16">
        <f t="shared" si="0"/>
        <v>0</v>
      </c>
      <c r="G26" s="25">
        <f t="shared" si="1"/>
        <v>0</v>
      </c>
      <c r="H26" s="24" t="str">
        <f>BUDGET!J26</f>
        <v>Yes</v>
      </c>
      <c r="I26" s="24" t="str">
        <f t="shared" si="2"/>
        <v>NO COST / NO BUDGET</v>
      </c>
      <c r="J26" s="24" t="str">
        <f t="shared" si="3"/>
        <v>OK</v>
      </c>
    </row>
    <row r="27" spans="1:10">
      <c r="A27" s="24">
        <f>BUDGET!A27</f>
        <v>3050</v>
      </c>
      <c r="B27" s="24" t="str">
        <f>BUDGET!B27</f>
        <v>Foundation Wall - Material</v>
      </c>
      <c r="C27" s="25">
        <f>BUDGET!H27</f>
        <v>0</v>
      </c>
      <c r="D27" s="25">
        <f>SUMIF('QB JOB COST IMPORT'!$I$6:$I$210,A27,'QB JOB COST IMPORT'!$F$6:$F$210)</f>
        <v>0</v>
      </c>
      <c r="E27" s="25">
        <f>SUM('DRAW HISTORY'!C27:L27)</f>
        <v>0</v>
      </c>
      <c r="F27" s="16">
        <f t="shared" si="0"/>
        <v>0</v>
      </c>
      <c r="G27" s="25">
        <f t="shared" si="1"/>
        <v>0</v>
      </c>
      <c r="H27" s="24" t="str">
        <f>BUDGET!J27</f>
        <v>Yes</v>
      </c>
      <c r="I27" s="24" t="str">
        <f t="shared" si="2"/>
        <v>NO COST / NO BUDGET</v>
      </c>
      <c r="J27" s="24" t="str">
        <f t="shared" si="3"/>
        <v>OK</v>
      </c>
    </row>
    <row r="28" spans="1:10">
      <c r="A28" s="24">
        <f>BUDGET!A28</f>
        <v>3051</v>
      </c>
      <c r="B28" s="24" t="str">
        <f>BUDGET!B28</f>
        <v>Foundation Wall - Sub</v>
      </c>
      <c r="C28" s="25">
        <f>BUDGET!H28</f>
        <v>0</v>
      </c>
      <c r="D28" s="25">
        <f>SUMIF('QB JOB COST IMPORT'!$I$6:$I$210,A28,'QB JOB COST IMPORT'!$F$6:$F$210)</f>
        <v>0</v>
      </c>
      <c r="E28" s="25">
        <f>SUM('DRAW HISTORY'!C28:L28)</f>
        <v>0</v>
      </c>
      <c r="F28" s="16">
        <f t="shared" si="0"/>
        <v>0</v>
      </c>
      <c r="G28" s="25">
        <f t="shared" si="1"/>
        <v>0</v>
      </c>
      <c r="H28" s="24" t="str">
        <f>BUDGET!J28</f>
        <v>Yes</v>
      </c>
      <c r="I28" s="24" t="str">
        <f t="shared" si="2"/>
        <v>NO COST / NO BUDGET</v>
      </c>
      <c r="J28" s="24" t="str">
        <f t="shared" si="3"/>
        <v>OK</v>
      </c>
    </row>
    <row r="29" spans="1:10">
      <c r="A29" s="24">
        <f>BUDGET!A29</f>
        <v>3070</v>
      </c>
      <c r="B29" s="24" t="str">
        <f>BUDGET!B29</f>
        <v>Termite Treat Soil</v>
      </c>
      <c r="C29" s="25">
        <f>BUDGET!H29</f>
        <v>0</v>
      </c>
      <c r="D29" s="25">
        <f>SUMIF('QB JOB COST IMPORT'!$I$6:$I$210,A29,'QB JOB COST IMPORT'!$F$6:$F$210)</f>
        <v>0</v>
      </c>
      <c r="E29" s="25">
        <f>SUM('DRAW HISTORY'!C29:L29)</f>
        <v>0</v>
      </c>
      <c r="F29" s="16">
        <f t="shared" si="0"/>
        <v>0</v>
      </c>
      <c r="G29" s="25">
        <f t="shared" si="1"/>
        <v>0</v>
      </c>
      <c r="H29" s="24" t="str">
        <f>BUDGET!J29</f>
        <v>Yes</v>
      </c>
      <c r="I29" s="24" t="str">
        <f t="shared" si="2"/>
        <v>NO COST / NO BUDGET</v>
      </c>
      <c r="J29" s="24" t="str">
        <f t="shared" si="3"/>
        <v>OK</v>
      </c>
    </row>
    <row r="30" spans="1:10">
      <c r="A30" s="24">
        <f>BUDGET!A30</f>
        <v>3080</v>
      </c>
      <c r="B30" s="24" t="str">
        <f>BUDGET!B30</f>
        <v>Waterproof Foundation</v>
      </c>
      <c r="C30" s="25">
        <f>BUDGET!H30</f>
        <v>0</v>
      </c>
      <c r="D30" s="25">
        <f>SUMIF('QB JOB COST IMPORT'!$I$6:$I$210,A30,'QB JOB COST IMPORT'!$F$6:$F$210)</f>
        <v>0</v>
      </c>
      <c r="E30" s="25">
        <f>SUM('DRAW HISTORY'!C30:L30)</f>
        <v>0</v>
      </c>
      <c r="F30" s="16">
        <f t="shared" si="0"/>
        <v>0</v>
      </c>
      <c r="G30" s="25">
        <f t="shared" si="1"/>
        <v>0</v>
      </c>
      <c r="H30" s="24" t="str">
        <f>BUDGET!J30</f>
        <v>Yes</v>
      </c>
      <c r="I30" s="24" t="str">
        <f t="shared" si="2"/>
        <v>NO COST / NO BUDGET</v>
      </c>
      <c r="J30" s="24" t="str">
        <f t="shared" si="3"/>
        <v>OK</v>
      </c>
    </row>
    <row r="31" spans="1:10">
      <c r="A31" s="24">
        <f>BUDGET!A31</f>
        <v>3090</v>
      </c>
      <c r="B31" s="24" t="str">
        <f>BUDGET!B31</f>
        <v>Engineering</v>
      </c>
      <c r="C31" s="25">
        <f>BUDGET!H31</f>
        <v>0</v>
      </c>
      <c r="D31" s="25">
        <f>SUMIF('QB JOB COST IMPORT'!$I$6:$I$210,A31,'QB JOB COST IMPORT'!$F$6:$F$210)</f>
        <v>0</v>
      </c>
      <c r="E31" s="25">
        <f>SUM('DRAW HISTORY'!C31:L31)</f>
        <v>0</v>
      </c>
      <c r="F31" s="16">
        <f t="shared" si="0"/>
        <v>0</v>
      </c>
      <c r="G31" s="25">
        <f t="shared" si="1"/>
        <v>0</v>
      </c>
      <c r="H31" s="24" t="str">
        <f>BUDGET!J31</f>
        <v>Yes</v>
      </c>
      <c r="I31" s="24" t="str">
        <f t="shared" si="2"/>
        <v>NO COST / NO BUDGET</v>
      </c>
      <c r="J31" s="24" t="str">
        <f t="shared" si="3"/>
        <v>OK</v>
      </c>
    </row>
    <row r="32" spans="1:10">
      <c r="A32" s="24">
        <f>BUDGET!A32</f>
        <v>3095</v>
      </c>
      <c r="B32" s="24" t="str">
        <f>BUDGET!B32</f>
        <v>Water Lines - Sub</v>
      </c>
      <c r="C32" s="25">
        <f>BUDGET!H32</f>
        <v>0</v>
      </c>
      <c r="D32" s="25">
        <f>SUMIF('QB JOB COST IMPORT'!$I$6:$I$210,A32,'QB JOB COST IMPORT'!$F$6:$F$210)</f>
        <v>0</v>
      </c>
      <c r="E32" s="25">
        <f>SUM('DRAW HISTORY'!C32:L32)</f>
        <v>0</v>
      </c>
      <c r="F32" s="16">
        <f t="shared" si="0"/>
        <v>0</v>
      </c>
      <c r="G32" s="25">
        <f t="shared" si="1"/>
        <v>0</v>
      </c>
      <c r="H32" s="24" t="str">
        <f>BUDGET!J32</f>
        <v>Yes</v>
      </c>
      <c r="I32" s="24" t="str">
        <f t="shared" si="2"/>
        <v>NO COST / NO BUDGET</v>
      </c>
      <c r="J32" s="24" t="str">
        <f t="shared" si="3"/>
        <v>OK</v>
      </c>
    </row>
    <row r="33" spans="1:10">
      <c r="A33" s="24">
        <f>BUDGET!A33</f>
        <v>3096</v>
      </c>
      <c r="B33" s="24" t="str">
        <f>BUDGET!B33</f>
        <v>Sewer Lines - Sub</v>
      </c>
      <c r="C33" s="25">
        <f>BUDGET!H33</f>
        <v>0</v>
      </c>
      <c r="D33" s="25">
        <f>SUMIF('QB JOB COST IMPORT'!$I$6:$I$210,A33,'QB JOB COST IMPORT'!$F$6:$F$210)</f>
        <v>0</v>
      </c>
      <c r="E33" s="25">
        <f>SUM('DRAW HISTORY'!C33:L33)</f>
        <v>0</v>
      </c>
      <c r="F33" s="16">
        <f t="shared" si="0"/>
        <v>0</v>
      </c>
      <c r="G33" s="25">
        <f t="shared" si="1"/>
        <v>0</v>
      </c>
      <c r="H33" s="24" t="str">
        <f>BUDGET!J33</f>
        <v>Yes</v>
      </c>
      <c r="I33" s="24" t="str">
        <f t="shared" si="2"/>
        <v>NO COST / NO BUDGET</v>
      </c>
      <c r="J33" s="24" t="str">
        <f t="shared" si="3"/>
        <v>OK</v>
      </c>
    </row>
    <row r="34" spans="1:10">
      <c r="A34" s="24">
        <f>BUDGET!A34</f>
        <v>4010</v>
      </c>
      <c r="B34" s="24" t="str">
        <f>BUDGET!B34</f>
        <v>Brick - Materials</v>
      </c>
      <c r="C34" s="25">
        <f>BUDGET!H34</f>
        <v>0</v>
      </c>
      <c r="D34" s="25">
        <f>SUMIF('QB JOB COST IMPORT'!$I$6:$I$210,A34,'QB JOB COST IMPORT'!$F$6:$F$210)</f>
        <v>0</v>
      </c>
      <c r="E34" s="25">
        <f>SUM('DRAW HISTORY'!C34:L34)</f>
        <v>0</v>
      </c>
      <c r="F34" s="16">
        <f t="shared" si="0"/>
        <v>0</v>
      </c>
      <c r="G34" s="25">
        <f t="shared" si="1"/>
        <v>0</v>
      </c>
      <c r="H34" s="24" t="str">
        <f>BUDGET!J34</f>
        <v>Yes</v>
      </c>
      <c r="I34" s="24" t="str">
        <f t="shared" si="2"/>
        <v>NO COST / NO BUDGET</v>
      </c>
      <c r="J34" s="24" t="str">
        <f t="shared" si="3"/>
        <v>OK</v>
      </c>
    </row>
    <row r="35" spans="1:10">
      <c r="A35" s="24">
        <f>BUDGET!A35</f>
        <v>4011</v>
      </c>
      <c r="B35" s="24" t="str">
        <f>BUDGET!B35</f>
        <v>Brick - Sub</v>
      </c>
      <c r="C35" s="25">
        <f>BUDGET!H35</f>
        <v>0</v>
      </c>
      <c r="D35" s="25">
        <f>SUMIF('QB JOB COST IMPORT'!$I$6:$I$210,A35,'QB JOB COST IMPORT'!$F$6:$F$210)</f>
        <v>0</v>
      </c>
      <c r="E35" s="25">
        <f>SUM('DRAW HISTORY'!C35:L35)</f>
        <v>0</v>
      </c>
      <c r="F35" s="16">
        <f t="shared" si="0"/>
        <v>0</v>
      </c>
      <c r="G35" s="25">
        <f t="shared" si="1"/>
        <v>0</v>
      </c>
      <c r="H35" s="24" t="str">
        <f>BUDGET!J35</f>
        <v>Yes</v>
      </c>
      <c r="I35" s="24" t="str">
        <f t="shared" si="2"/>
        <v>NO COST / NO BUDGET</v>
      </c>
      <c r="J35" s="24" t="str">
        <f t="shared" si="3"/>
        <v>OK</v>
      </c>
    </row>
    <row r="36" spans="1:10">
      <c r="A36" s="24">
        <f>BUDGET!A36</f>
        <v>4020</v>
      </c>
      <c r="B36" s="24" t="str">
        <f>BUDGET!B36</f>
        <v>Stone - Sub</v>
      </c>
      <c r="C36" s="25">
        <f>BUDGET!H36</f>
        <v>0</v>
      </c>
      <c r="D36" s="25">
        <f>SUMIF('QB JOB COST IMPORT'!$I$6:$I$210,A36,'QB JOB COST IMPORT'!$F$6:$F$210)</f>
        <v>0</v>
      </c>
      <c r="E36" s="25">
        <f>SUM('DRAW HISTORY'!C36:L36)</f>
        <v>0</v>
      </c>
      <c r="F36" s="16">
        <f t="shared" si="0"/>
        <v>0</v>
      </c>
      <c r="G36" s="25">
        <f t="shared" si="1"/>
        <v>0</v>
      </c>
      <c r="H36" s="24" t="str">
        <f>BUDGET!J36</f>
        <v>Yes</v>
      </c>
      <c r="I36" s="24" t="str">
        <f t="shared" si="2"/>
        <v>NO COST / NO BUDGET</v>
      </c>
      <c r="J36" s="24" t="str">
        <f t="shared" si="3"/>
        <v>OK</v>
      </c>
    </row>
    <row r="37" spans="1:10">
      <c r="A37" s="24">
        <f>BUDGET!A37</f>
        <v>4021</v>
      </c>
      <c r="B37" s="24" t="str">
        <f>BUDGET!B37</f>
        <v>Stucco - Sub</v>
      </c>
      <c r="C37" s="25">
        <f>BUDGET!H37</f>
        <v>0</v>
      </c>
      <c r="D37" s="25">
        <f>SUMIF('QB JOB COST IMPORT'!$I$6:$I$210,A37,'QB JOB COST IMPORT'!$F$6:$F$210)</f>
        <v>0</v>
      </c>
      <c r="E37" s="25">
        <f>SUM('DRAW HISTORY'!C37:L37)</f>
        <v>0</v>
      </c>
      <c r="F37" s="16">
        <f t="shared" si="0"/>
        <v>0</v>
      </c>
      <c r="G37" s="25">
        <f t="shared" si="1"/>
        <v>0</v>
      </c>
      <c r="H37" s="24" t="str">
        <f>BUDGET!J37</f>
        <v>Yes</v>
      </c>
      <c r="I37" s="24" t="str">
        <f t="shared" si="2"/>
        <v>NO COST / NO BUDGET</v>
      </c>
      <c r="J37" s="24" t="str">
        <f t="shared" si="3"/>
        <v>OK</v>
      </c>
    </row>
    <row r="38" spans="1:10">
      <c r="A38" s="24">
        <f>BUDGET!A38</f>
        <v>4030</v>
      </c>
      <c r="B38" s="24" t="str">
        <f>BUDGET!B38</f>
        <v>Framing - Material</v>
      </c>
      <c r="C38" s="25">
        <f>BUDGET!H38</f>
        <v>0</v>
      </c>
      <c r="D38" s="25">
        <f>SUMIF('QB JOB COST IMPORT'!$I$6:$I$210,A38,'QB JOB COST IMPORT'!$F$6:$F$210)</f>
        <v>0</v>
      </c>
      <c r="E38" s="25">
        <f>SUM('DRAW HISTORY'!C38:L38)</f>
        <v>0</v>
      </c>
      <c r="F38" s="16">
        <f t="shared" ref="F38:F69" si="4">IF(H38="Yes",D38-E38,0)</f>
        <v>0</v>
      </c>
      <c r="G38" s="25">
        <f t="shared" ref="G38:G69" si="5">D38-C38</f>
        <v>0</v>
      </c>
      <c r="H38" s="24" t="str">
        <f>BUDGET!J38</f>
        <v>Yes</v>
      </c>
      <c r="I38" s="24" t="str">
        <f t="shared" ref="I38:I69" si="6">IF(D38=0,IF(C38=0,"NO COST / NO BUDGET","NO QB ACTUAL"),"MATCHED")</f>
        <v>NO COST / NO BUDGET</v>
      </c>
      <c r="J38" s="24" t="str">
        <f t="shared" ref="J38:J69" si="7">IF(E38&gt;D38,"PRIOR BILLING EXCEEDS QB ACTUAL",IF(G38&gt;0,"OVER BUDGET","OK"))</f>
        <v>OK</v>
      </c>
    </row>
    <row r="39" spans="1:10">
      <c r="A39" s="24">
        <f>BUDGET!A39</f>
        <v>4031</v>
      </c>
      <c r="B39" s="24" t="str">
        <f>BUDGET!B39</f>
        <v>Framing - Sub</v>
      </c>
      <c r="C39" s="25">
        <f>BUDGET!H39</f>
        <v>0</v>
      </c>
      <c r="D39" s="25">
        <f>SUMIF('QB JOB COST IMPORT'!$I$6:$I$210,A39,'QB JOB COST IMPORT'!$F$6:$F$210)</f>
        <v>0</v>
      </c>
      <c r="E39" s="25">
        <f>SUM('DRAW HISTORY'!C39:L39)</f>
        <v>0</v>
      </c>
      <c r="F39" s="16">
        <f t="shared" si="4"/>
        <v>0</v>
      </c>
      <c r="G39" s="25">
        <f t="shared" si="5"/>
        <v>0</v>
      </c>
      <c r="H39" s="24" t="str">
        <f>BUDGET!J39</f>
        <v>Yes</v>
      </c>
      <c r="I39" s="24" t="str">
        <f t="shared" si="6"/>
        <v>NO COST / NO BUDGET</v>
      </c>
      <c r="J39" s="24" t="str">
        <f t="shared" si="7"/>
        <v>OK</v>
      </c>
    </row>
    <row r="40" spans="1:10">
      <c r="A40" s="24">
        <f>BUDGET!A40</f>
        <v>4032</v>
      </c>
      <c r="B40" s="24" t="str">
        <f>BUDGET!B40</f>
        <v>Floor Screw - Sub</v>
      </c>
      <c r="C40" s="25">
        <f>BUDGET!H40</f>
        <v>0</v>
      </c>
      <c r="D40" s="25">
        <f>SUMIF('QB JOB COST IMPORT'!$I$6:$I$210,A40,'QB JOB COST IMPORT'!$F$6:$F$210)</f>
        <v>0</v>
      </c>
      <c r="E40" s="25">
        <f>SUM('DRAW HISTORY'!C40:L40)</f>
        <v>0</v>
      </c>
      <c r="F40" s="16">
        <f t="shared" si="4"/>
        <v>0</v>
      </c>
      <c r="G40" s="25">
        <f t="shared" si="5"/>
        <v>0</v>
      </c>
      <c r="H40" s="24" t="str">
        <f>BUDGET!J40</f>
        <v>Yes</v>
      </c>
      <c r="I40" s="24" t="str">
        <f t="shared" si="6"/>
        <v>NO COST / NO BUDGET</v>
      </c>
      <c r="J40" s="24" t="str">
        <f t="shared" si="7"/>
        <v>OK</v>
      </c>
    </row>
    <row r="41" spans="1:10">
      <c r="A41" s="24">
        <f>BUDGET!A41</f>
        <v>4040</v>
      </c>
      <c r="B41" s="24" t="str">
        <f>BUDGET!B41</f>
        <v>Trusses - Material</v>
      </c>
      <c r="C41" s="25">
        <f>BUDGET!H41</f>
        <v>0</v>
      </c>
      <c r="D41" s="25">
        <f>SUMIF('QB JOB COST IMPORT'!$I$6:$I$210,A41,'QB JOB COST IMPORT'!$F$6:$F$210)</f>
        <v>0</v>
      </c>
      <c r="E41" s="25">
        <f>SUM('DRAW HISTORY'!C41:L41)</f>
        <v>0</v>
      </c>
      <c r="F41" s="16">
        <f t="shared" si="4"/>
        <v>0</v>
      </c>
      <c r="G41" s="25">
        <f t="shared" si="5"/>
        <v>0</v>
      </c>
      <c r="H41" s="24" t="str">
        <f>BUDGET!J41</f>
        <v>Yes</v>
      </c>
      <c r="I41" s="24" t="str">
        <f t="shared" si="6"/>
        <v>NO COST / NO BUDGET</v>
      </c>
      <c r="J41" s="24" t="str">
        <f t="shared" si="7"/>
        <v>OK</v>
      </c>
    </row>
    <row r="42" spans="1:10">
      <c r="A42" s="24">
        <f>BUDGET!A42</f>
        <v>4041</v>
      </c>
      <c r="B42" s="24" t="str">
        <f>BUDGET!B42</f>
        <v>Steel Beams</v>
      </c>
      <c r="C42" s="25">
        <f>BUDGET!H42</f>
        <v>0</v>
      </c>
      <c r="D42" s="25">
        <f>SUMIF('QB JOB COST IMPORT'!$I$6:$I$210,A42,'QB JOB COST IMPORT'!$F$6:$F$210)</f>
        <v>0</v>
      </c>
      <c r="E42" s="25">
        <f>SUM('DRAW HISTORY'!C42:L42)</f>
        <v>0</v>
      </c>
      <c r="F42" s="16">
        <f t="shared" si="4"/>
        <v>0</v>
      </c>
      <c r="G42" s="25">
        <f t="shared" si="5"/>
        <v>0</v>
      </c>
      <c r="H42" s="24" t="str">
        <f>BUDGET!J42</f>
        <v>Yes</v>
      </c>
      <c r="I42" s="24" t="str">
        <f t="shared" si="6"/>
        <v>NO COST / NO BUDGET</v>
      </c>
      <c r="J42" s="24" t="str">
        <f t="shared" si="7"/>
        <v>OK</v>
      </c>
    </row>
    <row r="43" spans="1:10">
      <c r="A43" s="24">
        <f>BUDGET!A43</f>
        <v>4050</v>
      </c>
      <c r="B43" s="24" t="str">
        <f>BUDGET!B43</f>
        <v>Windows/Ex Doors - Mat</v>
      </c>
      <c r="C43" s="25">
        <f>BUDGET!H43</f>
        <v>0</v>
      </c>
      <c r="D43" s="25">
        <f>SUMIF('QB JOB COST IMPORT'!$I$6:$I$210,A43,'QB JOB COST IMPORT'!$F$6:$F$210)</f>
        <v>0</v>
      </c>
      <c r="E43" s="25">
        <f>SUM('DRAW HISTORY'!C43:L43)</f>
        <v>0</v>
      </c>
      <c r="F43" s="16">
        <f t="shared" si="4"/>
        <v>0</v>
      </c>
      <c r="G43" s="25">
        <f t="shared" si="5"/>
        <v>0</v>
      </c>
      <c r="H43" s="24" t="str">
        <f>BUDGET!J43</f>
        <v>Yes</v>
      </c>
      <c r="I43" s="24" t="str">
        <f t="shared" si="6"/>
        <v>NO COST / NO BUDGET</v>
      </c>
      <c r="J43" s="24" t="str">
        <f t="shared" si="7"/>
        <v>OK</v>
      </c>
    </row>
    <row r="44" spans="1:10">
      <c r="A44" s="24">
        <f>BUDGET!A44</f>
        <v>4051</v>
      </c>
      <c r="B44" s="24" t="str">
        <f>BUDGET!B44</f>
        <v>Windows/Ex Doors - Sub</v>
      </c>
      <c r="C44" s="25">
        <f>BUDGET!H44</f>
        <v>0</v>
      </c>
      <c r="D44" s="25">
        <f>SUMIF('QB JOB COST IMPORT'!$I$6:$I$210,A44,'QB JOB COST IMPORT'!$F$6:$F$210)</f>
        <v>0</v>
      </c>
      <c r="E44" s="25">
        <f>SUM('DRAW HISTORY'!C44:L44)</f>
        <v>0</v>
      </c>
      <c r="F44" s="16">
        <f t="shared" si="4"/>
        <v>0</v>
      </c>
      <c r="G44" s="25">
        <f t="shared" si="5"/>
        <v>0</v>
      </c>
      <c r="H44" s="24" t="str">
        <f>BUDGET!J44</f>
        <v>Yes</v>
      </c>
      <c r="I44" s="24" t="str">
        <f t="shared" si="6"/>
        <v>NO COST / NO BUDGET</v>
      </c>
      <c r="J44" s="24" t="str">
        <f t="shared" si="7"/>
        <v>OK</v>
      </c>
    </row>
    <row r="45" spans="1:10">
      <c r="A45" s="24">
        <f>BUDGET!A45</f>
        <v>4060</v>
      </c>
      <c r="B45" s="24" t="str">
        <f>BUDGET!B45</f>
        <v>Skylight - Sub</v>
      </c>
      <c r="C45" s="25">
        <f>BUDGET!H45</f>
        <v>0</v>
      </c>
      <c r="D45" s="25">
        <f>SUMIF('QB JOB COST IMPORT'!$I$6:$I$210,A45,'QB JOB COST IMPORT'!$F$6:$F$210)</f>
        <v>0</v>
      </c>
      <c r="E45" s="25">
        <f>SUM('DRAW HISTORY'!C45:L45)</f>
        <v>0</v>
      </c>
      <c r="F45" s="16">
        <f t="shared" si="4"/>
        <v>0</v>
      </c>
      <c r="G45" s="25">
        <f t="shared" si="5"/>
        <v>0</v>
      </c>
      <c r="H45" s="24" t="str">
        <f>BUDGET!J45</f>
        <v>Yes</v>
      </c>
      <c r="I45" s="24" t="str">
        <f t="shared" si="6"/>
        <v>NO COST / NO BUDGET</v>
      </c>
      <c r="J45" s="24" t="str">
        <f t="shared" si="7"/>
        <v>OK</v>
      </c>
    </row>
    <row r="46" spans="1:10">
      <c r="A46" s="24">
        <f>BUDGET!A46</f>
        <v>4061</v>
      </c>
      <c r="B46" s="24" t="str">
        <f>BUDGET!B46</f>
        <v>Specialty Glass - Sub</v>
      </c>
      <c r="C46" s="25">
        <f>BUDGET!H46</f>
        <v>0</v>
      </c>
      <c r="D46" s="25">
        <f>SUMIF('QB JOB COST IMPORT'!$I$6:$I$210,A46,'QB JOB COST IMPORT'!$F$6:$F$210)</f>
        <v>0</v>
      </c>
      <c r="E46" s="25">
        <f>SUM('DRAW HISTORY'!C46:L46)</f>
        <v>0</v>
      </c>
      <c r="F46" s="16">
        <f t="shared" si="4"/>
        <v>0</v>
      </c>
      <c r="G46" s="25">
        <f t="shared" si="5"/>
        <v>0</v>
      </c>
      <c r="H46" s="24" t="str">
        <f>BUDGET!J46</f>
        <v>Yes</v>
      </c>
      <c r="I46" s="24" t="str">
        <f t="shared" si="6"/>
        <v>NO COST / NO BUDGET</v>
      </c>
      <c r="J46" s="24" t="str">
        <f t="shared" si="7"/>
        <v>OK</v>
      </c>
    </row>
    <row r="47" spans="1:10">
      <c r="A47" s="24">
        <f>BUDGET!A47</f>
        <v>4070</v>
      </c>
      <c r="B47" s="24" t="str">
        <f>BUDGET!B47</f>
        <v>Roofing - Material</v>
      </c>
      <c r="C47" s="25">
        <f>BUDGET!H47</f>
        <v>0</v>
      </c>
      <c r="D47" s="25">
        <f>SUMIF('QB JOB COST IMPORT'!$I$6:$I$210,A47,'QB JOB COST IMPORT'!$F$6:$F$210)</f>
        <v>0</v>
      </c>
      <c r="E47" s="25">
        <f>SUM('DRAW HISTORY'!C47:L47)</f>
        <v>0</v>
      </c>
      <c r="F47" s="16">
        <f t="shared" si="4"/>
        <v>0</v>
      </c>
      <c r="G47" s="25">
        <f t="shared" si="5"/>
        <v>0</v>
      </c>
      <c r="H47" s="24" t="str">
        <f>BUDGET!J47</f>
        <v>Yes</v>
      </c>
      <c r="I47" s="24" t="str">
        <f t="shared" si="6"/>
        <v>NO COST / NO BUDGET</v>
      </c>
      <c r="J47" s="24" t="str">
        <f t="shared" si="7"/>
        <v>OK</v>
      </c>
    </row>
    <row r="48" spans="1:10">
      <c r="A48" s="24">
        <f>BUDGET!A48</f>
        <v>4071</v>
      </c>
      <c r="B48" s="24" t="str">
        <f>BUDGET!B48</f>
        <v>Roofing - Sub</v>
      </c>
      <c r="C48" s="25">
        <f>BUDGET!H48</f>
        <v>0</v>
      </c>
      <c r="D48" s="25">
        <f>SUMIF('QB JOB COST IMPORT'!$I$6:$I$210,A48,'QB JOB COST IMPORT'!$F$6:$F$210)</f>
        <v>0</v>
      </c>
      <c r="E48" s="25">
        <f>SUM('DRAW HISTORY'!C48:L48)</f>
        <v>0</v>
      </c>
      <c r="F48" s="16">
        <f t="shared" si="4"/>
        <v>0</v>
      </c>
      <c r="G48" s="25">
        <f t="shared" si="5"/>
        <v>0</v>
      </c>
      <c r="H48" s="24" t="str">
        <f>BUDGET!J48</f>
        <v>Yes</v>
      </c>
      <c r="I48" s="24" t="str">
        <f t="shared" si="6"/>
        <v>NO COST / NO BUDGET</v>
      </c>
      <c r="J48" s="24" t="str">
        <f t="shared" si="7"/>
        <v>OK</v>
      </c>
    </row>
    <row r="49" spans="1:10">
      <c r="A49" s="24">
        <f>BUDGET!A49</f>
        <v>4080</v>
      </c>
      <c r="B49" s="24" t="str">
        <f>BUDGET!B49</f>
        <v>Plumbing - Sub</v>
      </c>
      <c r="C49" s="25">
        <f>BUDGET!H49</f>
        <v>0</v>
      </c>
      <c r="D49" s="25">
        <f>SUMIF('QB JOB COST IMPORT'!$I$6:$I$210,A49,'QB JOB COST IMPORT'!$F$6:$F$210)</f>
        <v>0</v>
      </c>
      <c r="E49" s="25">
        <f>SUM('DRAW HISTORY'!C49:L49)</f>
        <v>0</v>
      </c>
      <c r="F49" s="16">
        <f t="shared" si="4"/>
        <v>0</v>
      </c>
      <c r="G49" s="25">
        <f t="shared" si="5"/>
        <v>0</v>
      </c>
      <c r="H49" s="24" t="str">
        <f>BUDGET!J49</f>
        <v>Yes</v>
      </c>
      <c r="I49" s="24" t="str">
        <f t="shared" si="6"/>
        <v>NO COST / NO BUDGET</v>
      </c>
      <c r="J49" s="24" t="str">
        <f t="shared" si="7"/>
        <v>OK</v>
      </c>
    </row>
    <row r="50" spans="1:10">
      <c r="A50" s="24">
        <f>BUDGET!A50</f>
        <v>4082</v>
      </c>
      <c r="B50" s="24" t="str">
        <f>BUDGET!B50</f>
        <v>Plumbing - Fixtures</v>
      </c>
      <c r="C50" s="25">
        <f>BUDGET!H50</f>
        <v>0</v>
      </c>
      <c r="D50" s="25">
        <f>SUMIF('QB JOB COST IMPORT'!$I$6:$I$210,A50,'QB JOB COST IMPORT'!$F$6:$F$210)</f>
        <v>0</v>
      </c>
      <c r="E50" s="25">
        <f>SUM('DRAW HISTORY'!C50:L50)</f>
        <v>0</v>
      </c>
      <c r="F50" s="16">
        <f t="shared" si="4"/>
        <v>0</v>
      </c>
      <c r="G50" s="25">
        <f t="shared" si="5"/>
        <v>0</v>
      </c>
      <c r="H50" s="24" t="str">
        <f>BUDGET!J50</f>
        <v>Yes</v>
      </c>
      <c r="I50" s="24" t="str">
        <f t="shared" si="6"/>
        <v>NO COST / NO BUDGET</v>
      </c>
      <c r="J50" s="24" t="str">
        <f t="shared" si="7"/>
        <v>OK</v>
      </c>
    </row>
    <row r="51" spans="1:10">
      <c r="A51" s="24">
        <f>BUDGET!A51</f>
        <v>4085</v>
      </c>
      <c r="B51" s="24" t="str">
        <f>BUDGET!B51</f>
        <v>Electrical - Sub</v>
      </c>
      <c r="C51" s="25">
        <f>BUDGET!H51</f>
        <v>0</v>
      </c>
      <c r="D51" s="25">
        <f>SUMIF('QB JOB COST IMPORT'!$I$6:$I$210,A51,'QB JOB COST IMPORT'!$F$6:$F$210)</f>
        <v>0</v>
      </c>
      <c r="E51" s="25">
        <f>SUM('DRAW HISTORY'!C51:L51)</f>
        <v>0</v>
      </c>
      <c r="F51" s="16">
        <f t="shared" si="4"/>
        <v>0</v>
      </c>
      <c r="G51" s="25">
        <f t="shared" si="5"/>
        <v>0</v>
      </c>
      <c r="H51" s="24" t="str">
        <f>BUDGET!J51</f>
        <v>Yes</v>
      </c>
      <c r="I51" s="24" t="str">
        <f t="shared" si="6"/>
        <v>NO COST / NO BUDGET</v>
      </c>
      <c r="J51" s="24" t="str">
        <f t="shared" si="7"/>
        <v>OK</v>
      </c>
    </row>
    <row r="52" spans="1:10">
      <c r="A52" s="24">
        <f>BUDGET!A52</f>
        <v>4086</v>
      </c>
      <c r="B52" s="24" t="str">
        <f>BUDGET!B52</f>
        <v>Low Voltage - Sub</v>
      </c>
      <c r="C52" s="25">
        <f>BUDGET!H52</f>
        <v>0</v>
      </c>
      <c r="D52" s="25">
        <f>SUMIF('QB JOB COST IMPORT'!$I$6:$I$210,A52,'QB JOB COST IMPORT'!$F$6:$F$210)</f>
        <v>0</v>
      </c>
      <c r="E52" s="25">
        <f>SUM('DRAW HISTORY'!C52:L52)</f>
        <v>0</v>
      </c>
      <c r="F52" s="16">
        <f t="shared" si="4"/>
        <v>0</v>
      </c>
      <c r="G52" s="25">
        <f t="shared" si="5"/>
        <v>0</v>
      </c>
      <c r="H52" s="24" t="str">
        <f>BUDGET!J52</f>
        <v>Yes</v>
      </c>
      <c r="I52" s="24" t="str">
        <f t="shared" si="6"/>
        <v>NO COST / NO BUDGET</v>
      </c>
      <c r="J52" s="24" t="str">
        <f t="shared" si="7"/>
        <v>OK</v>
      </c>
    </row>
    <row r="53" spans="1:10">
      <c r="A53" s="24">
        <f>BUDGET!A53</f>
        <v>4090</v>
      </c>
      <c r="B53" s="24" t="str">
        <f>BUDGET!B53</f>
        <v>HVAC - Sub</v>
      </c>
      <c r="C53" s="25">
        <f>BUDGET!H53</f>
        <v>0</v>
      </c>
      <c r="D53" s="25">
        <f>SUMIF('QB JOB COST IMPORT'!$I$6:$I$210,A53,'QB JOB COST IMPORT'!$F$6:$F$210)</f>
        <v>0</v>
      </c>
      <c r="E53" s="25">
        <f>SUM('DRAW HISTORY'!C53:L53)</f>
        <v>0</v>
      </c>
      <c r="F53" s="16">
        <f t="shared" si="4"/>
        <v>0</v>
      </c>
      <c r="G53" s="25">
        <f t="shared" si="5"/>
        <v>0</v>
      </c>
      <c r="H53" s="24" t="str">
        <f>BUDGET!J53</f>
        <v>Yes</v>
      </c>
      <c r="I53" s="24" t="str">
        <f t="shared" si="6"/>
        <v>NO COST / NO BUDGET</v>
      </c>
      <c r="J53" s="24" t="str">
        <f t="shared" si="7"/>
        <v>OK</v>
      </c>
    </row>
    <row r="54" spans="1:10">
      <c r="A54" s="24">
        <f>BUDGET!A54</f>
        <v>4100</v>
      </c>
      <c r="B54" s="24" t="str">
        <f>BUDGET!B54</f>
        <v>Pre-Fab Fireplace - Sub</v>
      </c>
      <c r="C54" s="25">
        <f>BUDGET!H54</f>
        <v>0</v>
      </c>
      <c r="D54" s="25">
        <f>SUMIF('QB JOB COST IMPORT'!$I$6:$I$210,A54,'QB JOB COST IMPORT'!$F$6:$F$210)</f>
        <v>0</v>
      </c>
      <c r="E54" s="25">
        <f>SUM('DRAW HISTORY'!C54:L54)</f>
        <v>0</v>
      </c>
      <c r="F54" s="16">
        <f t="shared" si="4"/>
        <v>0</v>
      </c>
      <c r="G54" s="25">
        <f t="shared" si="5"/>
        <v>0</v>
      </c>
      <c r="H54" s="24" t="str">
        <f>BUDGET!J54</f>
        <v>Yes</v>
      </c>
      <c r="I54" s="24" t="str">
        <f t="shared" si="6"/>
        <v>NO COST / NO BUDGET</v>
      </c>
      <c r="J54" s="24" t="str">
        <f t="shared" si="7"/>
        <v>OK</v>
      </c>
    </row>
    <row r="55" spans="1:10">
      <c r="A55" s="24">
        <f>BUDGET!A55</f>
        <v>4110</v>
      </c>
      <c r="B55" s="24" t="str">
        <f>BUDGET!B55</f>
        <v>Trash Removal - Sub</v>
      </c>
      <c r="C55" s="25">
        <f>BUDGET!H55</f>
        <v>0</v>
      </c>
      <c r="D55" s="25">
        <f>SUMIF('QB JOB COST IMPORT'!$I$6:$I$210,A55,'QB JOB COST IMPORT'!$F$6:$F$210)</f>
        <v>0</v>
      </c>
      <c r="E55" s="25">
        <f>SUM('DRAW HISTORY'!C55:L55)</f>
        <v>0</v>
      </c>
      <c r="F55" s="16">
        <f t="shared" si="4"/>
        <v>0</v>
      </c>
      <c r="G55" s="25">
        <f t="shared" si="5"/>
        <v>0</v>
      </c>
      <c r="H55" s="24" t="str">
        <f>BUDGET!J55</f>
        <v>Yes</v>
      </c>
      <c r="I55" s="24" t="str">
        <f t="shared" si="6"/>
        <v>NO COST / NO BUDGET</v>
      </c>
      <c r="J55" s="24" t="str">
        <f t="shared" si="7"/>
        <v>OK</v>
      </c>
    </row>
    <row r="56" spans="1:10">
      <c r="A56" s="24">
        <f>BUDGET!A56</f>
        <v>4120</v>
      </c>
      <c r="B56" s="24" t="str">
        <f>BUDGET!B56</f>
        <v>Deck - Materials</v>
      </c>
      <c r="C56" s="25">
        <f>BUDGET!H56</f>
        <v>0</v>
      </c>
      <c r="D56" s="25">
        <f>SUMIF('QB JOB COST IMPORT'!$I$6:$I$210,A56,'QB JOB COST IMPORT'!$F$6:$F$210)</f>
        <v>0</v>
      </c>
      <c r="E56" s="25">
        <f>SUM('DRAW HISTORY'!C56:L56)</f>
        <v>0</v>
      </c>
      <c r="F56" s="16">
        <f t="shared" si="4"/>
        <v>0</v>
      </c>
      <c r="G56" s="25">
        <f t="shared" si="5"/>
        <v>0</v>
      </c>
      <c r="H56" s="24" t="str">
        <f>BUDGET!J56</f>
        <v>Yes</v>
      </c>
      <c r="I56" s="24" t="str">
        <f t="shared" si="6"/>
        <v>NO COST / NO BUDGET</v>
      </c>
      <c r="J56" s="24" t="str">
        <f t="shared" si="7"/>
        <v>OK</v>
      </c>
    </row>
    <row r="57" spans="1:10">
      <c r="A57" s="24">
        <f>BUDGET!A57</f>
        <v>4121</v>
      </c>
      <c r="B57" s="24" t="str">
        <f>BUDGET!B57</f>
        <v>Deck - Sub</v>
      </c>
      <c r="C57" s="25">
        <f>BUDGET!H57</f>
        <v>0</v>
      </c>
      <c r="D57" s="25">
        <f>SUMIF('QB JOB COST IMPORT'!$I$6:$I$210,A57,'QB JOB COST IMPORT'!$F$6:$F$210)</f>
        <v>0</v>
      </c>
      <c r="E57" s="25">
        <f>SUM('DRAW HISTORY'!C57:L57)</f>
        <v>0</v>
      </c>
      <c r="F57" s="16">
        <f t="shared" si="4"/>
        <v>0</v>
      </c>
      <c r="G57" s="25">
        <f t="shared" si="5"/>
        <v>0</v>
      </c>
      <c r="H57" s="24" t="str">
        <f>BUDGET!J57</f>
        <v>Yes</v>
      </c>
      <c r="I57" s="24" t="str">
        <f t="shared" si="6"/>
        <v>NO COST / NO BUDGET</v>
      </c>
      <c r="J57" s="24" t="str">
        <f t="shared" si="7"/>
        <v>OK</v>
      </c>
    </row>
    <row r="58" spans="1:10">
      <c r="A58" s="24">
        <f>BUDGET!A58</f>
        <v>4130</v>
      </c>
      <c r="B58" s="24" t="str">
        <f>BUDGET!B58</f>
        <v>Front Porch - Mat</v>
      </c>
      <c r="C58" s="25">
        <f>BUDGET!H58</f>
        <v>0</v>
      </c>
      <c r="D58" s="25">
        <f>SUMIF('QB JOB COST IMPORT'!$I$6:$I$210,A58,'QB JOB COST IMPORT'!$F$6:$F$210)</f>
        <v>0</v>
      </c>
      <c r="E58" s="25">
        <f>SUM('DRAW HISTORY'!C58:L58)</f>
        <v>0</v>
      </c>
      <c r="F58" s="16">
        <f t="shared" si="4"/>
        <v>0</v>
      </c>
      <c r="G58" s="25">
        <f t="shared" si="5"/>
        <v>0</v>
      </c>
      <c r="H58" s="24" t="str">
        <f>BUDGET!J58</f>
        <v>Yes</v>
      </c>
      <c r="I58" s="24" t="str">
        <f t="shared" si="6"/>
        <v>NO COST / NO BUDGET</v>
      </c>
      <c r="J58" s="24" t="str">
        <f t="shared" si="7"/>
        <v>OK</v>
      </c>
    </row>
    <row r="59" spans="1:10">
      <c r="A59" s="24">
        <f>BUDGET!A59</f>
        <v>4131</v>
      </c>
      <c r="B59" s="24" t="str">
        <f>BUDGET!B59</f>
        <v>Front Porch - Sub</v>
      </c>
      <c r="C59" s="25">
        <f>BUDGET!H59</f>
        <v>0</v>
      </c>
      <c r="D59" s="25">
        <f>SUMIF('QB JOB COST IMPORT'!$I$6:$I$210,A59,'QB JOB COST IMPORT'!$F$6:$F$210)</f>
        <v>0</v>
      </c>
      <c r="E59" s="25">
        <f>SUM('DRAW HISTORY'!C59:L59)</f>
        <v>0</v>
      </c>
      <c r="F59" s="16">
        <f t="shared" si="4"/>
        <v>0</v>
      </c>
      <c r="G59" s="25">
        <f t="shared" si="5"/>
        <v>0</v>
      </c>
      <c r="H59" s="24" t="str">
        <f>BUDGET!J59</f>
        <v>Yes</v>
      </c>
      <c r="I59" s="24" t="str">
        <f t="shared" si="6"/>
        <v>NO COST / NO BUDGET</v>
      </c>
      <c r="J59" s="24" t="str">
        <f t="shared" si="7"/>
        <v>OK</v>
      </c>
    </row>
    <row r="60" spans="1:10">
      <c r="A60" s="24">
        <f>BUDGET!A60</f>
        <v>4140</v>
      </c>
      <c r="B60" s="24" t="str">
        <f>BUDGET!B60</f>
        <v>Siding/Cornice - Mat</v>
      </c>
      <c r="C60" s="25">
        <f>BUDGET!H60</f>
        <v>0</v>
      </c>
      <c r="D60" s="25">
        <f>SUMIF('QB JOB COST IMPORT'!$I$6:$I$210,A60,'QB JOB COST IMPORT'!$F$6:$F$210)</f>
        <v>0</v>
      </c>
      <c r="E60" s="25">
        <f>SUM('DRAW HISTORY'!C60:L60)</f>
        <v>0</v>
      </c>
      <c r="F60" s="16">
        <f t="shared" si="4"/>
        <v>0</v>
      </c>
      <c r="G60" s="25">
        <f t="shared" si="5"/>
        <v>0</v>
      </c>
      <c r="H60" s="24" t="str">
        <f>BUDGET!J60</f>
        <v>Yes</v>
      </c>
      <c r="I60" s="24" t="str">
        <f t="shared" si="6"/>
        <v>NO COST / NO BUDGET</v>
      </c>
      <c r="J60" s="24" t="str">
        <f t="shared" si="7"/>
        <v>OK</v>
      </c>
    </row>
    <row r="61" spans="1:10">
      <c r="A61" s="24">
        <f>BUDGET!A61</f>
        <v>4141</v>
      </c>
      <c r="B61" s="24" t="str">
        <f>BUDGET!B61</f>
        <v>Siding/Cornice - Sub</v>
      </c>
      <c r="C61" s="25">
        <f>BUDGET!H61</f>
        <v>0</v>
      </c>
      <c r="D61" s="25">
        <f>SUMIF('QB JOB COST IMPORT'!$I$6:$I$210,A61,'QB JOB COST IMPORT'!$F$6:$F$210)</f>
        <v>0</v>
      </c>
      <c r="E61" s="25">
        <f>SUM('DRAW HISTORY'!C61:L61)</f>
        <v>0</v>
      </c>
      <c r="F61" s="16">
        <f t="shared" si="4"/>
        <v>0</v>
      </c>
      <c r="G61" s="25">
        <f t="shared" si="5"/>
        <v>0</v>
      </c>
      <c r="H61" s="24" t="str">
        <f>BUDGET!J61</f>
        <v>Yes</v>
      </c>
      <c r="I61" s="24" t="str">
        <f t="shared" si="6"/>
        <v>NO COST / NO BUDGET</v>
      </c>
      <c r="J61" s="24" t="str">
        <f t="shared" si="7"/>
        <v>OK</v>
      </c>
    </row>
    <row r="62" spans="1:10">
      <c r="A62" s="24">
        <f>BUDGET!A62</f>
        <v>4145</v>
      </c>
      <c r="B62" s="24" t="str">
        <f>BUDGET!B62</f>
        <v>Flashing - Sub</v>
      </c>
      <c r="C62" s="25">
        <f>BUDGET!H62</f>
        <v>0</v>
      </c>
      <c r="D62" s="25">
        <f>SUMIF('QB JOB COST IMPORT'!$I$6:$I$210,A62,'QB JOB COST IMPORT'!$F$6:$F$210)</f>
        <v>0</v>
      </c>
      <c r="E62" s="25">
        <f>SUM('DRAW HISTORY'!C62:L62)</f>
        <v>0</v>
      </c>
      <c r="F62" s="16">
        <f t="shared" si="4"/>
        <v>0</v>
      </c>
      <c r="G62" s="25">
        <f t="shared" si="5"/>
        <v>0</v>
      </c>
      <c r="H62" s="24" t="str">
        <f>BUDGET!J62</f>
        <v>Yes</v>
      </c>
      <c r="I62" s="24" t="str">
        <f t="shared" si="6"/>
        <v>NO COST / NO BUDGET</v>
      </c>
      <c r="J62" s="24" t="str">
        <f t="shared" si="7"/>
        <v>OK</v>
      </c>
    </row>
    <row r="63" spans="1:10">
      <c r="A63" s="24">
        <f>BUDGET!A63</f>
        <v>4150</v>
      </c>
      <c r="B63" s="24" t="str">
        <f>BUDGET!B63</f>
        <v>Cedar Shingles - Mat</v>
      </c>
      <c r="C63" s="25">
        <f>BUDGET!H63</f>
        <v>0</v>
      </c>
      <c r="D63" s="25">
        <f>SUMIF('QB JOB COST IMPORT'!$I$6:$I$210,A63,'QB JOB COST IMPORT'!$F$6:$F$210)</f>
        <v>0</v>
      </c>
      <c r="E63" s="25">
        <f>SUM('DRAW HISTORY'!C63:L63)</f>
        <v>0</v>
      </c>
      <c r="F63" s="16">
        <f t="shared" si="4"/>
        <v>0</v>
      </c>
      <c r="G63" s="25">
        <f t="shared" si="5"/>
        <v>0</v>
      </c>
      <c r="H63" s="24" t="str">
        <f>BUDGET!J63</f>
        <v>Yes</v>
      </c>
      <c r="I63" s="24" t="str">
        <f t="shared" si="6"/>
        <v>NO COST / NO BUDGET</v>
      </c>
      <c r="J63" s="24" t="str">
        <f t="shared" si="7"/>
        <v>OK</v>
      </c>
    </row>
    <row r="64" spans="1:10">
      <c r="A64" s="24">
        <f>BUDGET!A64</f>
        <v>4151</v>
      </c>
      <c r="B64" s="24" t="str">
        <f>BUDGET!B64</f>
        <v>Cedar Shingles - Sub</v>
      </c>
      <c r="C64" s="25">
        <f>BUDGET!H64</f>
        <v>0</v>
      </c>
      <c r="D64" s="25">
        <f>SUMIF('QB JOB COST IMPORT'!$I$6:$I$210,A64,'QB JOB COST IMPORT'!$F$6:$F$210)</f>
        <v>0</v>
      </c>
      <c r="E64" s="25">
        <f>SUM('DRAW HISTORY'!C64:L64)</f>
        <v>0</v>
      </c>
      <c r="F64" s="16">
        <f t="shared" si="4"/>
        <v>0</v>
      </c>
      <c r="G64" s="25">
        <f t="shared" si="5"/>
        <v>0</v>
      </c>
      <c r="H64" s="24" t="str">
        <f>BUDGET!J64</f>
        <v>Yes</v>
      </c>
      <c r="I64" s="24" t="str">
        <f t="shared" si="6"/>
        <v>NO COST / NO BUDGET</v>
      </c>
      <c r="J64" s="24" t="str">
        <f t="shared" si="7"/>
        <v>OK</v>
      </c>
    </row>
    <row r="65" spans="1:10">
      <c r="A65" s="24">
        <f>BUDGET!A65</f>
        <v>4170</v>
      </c>
      <c r="B65" s="24" t="str">
        <f>BUDGET!B65</f>
        <v>Shutters</v>
      </c>
      <c r="C65" s="25">
        <f>BUDGET!H65</f>
        <v>0</v>
      </c>
      <c r="D65" s="25">
        <f>SUMIF('QB JOB COST IMPORT'!$I$6:$I$210,A65,'QB JOB COST IMPORT'!$F$6:$F$210)</f>
        <v>0</v>
      </c>
      <c r="E65" s="25">
        <f>SUM('DRAW HISTORY'!C65:L65)</f>
        <v>0</v>
      </c>
      <c r="F65" s="16">
        <f t="shared" si="4"/>
        <v>0</v>
      </c>
      <c r="G65" s="25">
        <f t="shared" si="5"/>
        <v>0</v>
      </c>
      <c r="H65" s="24" t="str">
        <f>BUDGET!J65</f>
        <v>Yes</v>
      </c>
      <c r="I65" s="24" t="str">
        <f t="shared" si="6"/>
        <v>NO COST / NO BUDGET</v>
      </c>
      <c r="J65" s="24" t="str">
        <f t="shared" si="7"/>
        <v>OK</v>
      </c>
    </row>
    <row r="66" spans="1:10">
      <c r="A66" s="24">
        <f>BUDGET!A66</f>
        <v>4180</v>
      </c>
      <c r="B66" s="24" t="str">
        <f>BUDGET!B66</f>
        <v>Insulation - Sub</v>
      </c>
      <c r="C66" s="25">
        <f>BUDGET!H66</f>
        <v>0</v>
      </c>
      <c r="D66" s="25">
        <f>SUMIF('QB JOB COST IMPORT'!$I$6:$I$210,A66,'QB JOB COST IMPORT'!$F$6:$F$210)</f>
        <v>0</v>
      </c>
      <c r="E66" s="25">
        <f>SUM('DRAW HISTORY'!C66:L66)</f>
        <v>0</v>
      </c>
      <c r="F66" s="16">
        <f t="shared" si="4"/>
        <v>0</v>
      </c>
      <c r="G66" s="25">
        <f t="shared" si="5"/>
        <v>0</v>
      </c>
      <c r="H66" s="24" t="str">
        <f>BUDGET!J66</f>
        <v>Yes</v>
      </c>
      <c r="I66" s="24" t="str">
        <f t="shared" si="6"/>
        <v>NO COST / NO BUDGET</v>
      </c>
      <c r="J66" s="24" t="str">
        <f t="shared" si="7"/>
        <v>OK</v>
      </c>
    </row>
    <row r="67" spans="1:10">
      <c r="A67" s="24">
        <f>BUDGET!A67</f>
        <v>4190</v>
      </c>
      <c r="B67" s="24" t="str">
        <f>BUDGET!B67</f>
        <v>Flower Box - Sub</v>
      </c>
      <c r="C67" s="25">
        <f>BUDGET!H67</f>
        <v>0</v>
      </c>
      <c r="D67" s="25">
        <f>SUMIF('QB JOB COST IMPORT'!$I$6:$I$210,A67,'QB JOB COST IMPORT'!$F$6:$F$210)</f>
        <v>0</v>
      </c>
      <c r="E67" s="25">
        <f>SUM('DRAW HISTORY'!C67:L67)</f>
        <v>0</v>
      </c>
      <c r="F67" s="16">
        <f t="shared" si="4"/>
        <v>0</v>
      </c>
      <c r="G67" s="25">
        <f t="shared" si="5"/>
        <v>0</v>
      </c>
      <c r="H67" s="24" t="str">
        <f>BUDGET!J67</f>
        <v>Yes</v>
      </c>
      <c r="I67" s="24" t="str">
        <f t="shared" si="6"/>
        <v>NO COST / NO BUDGET</v>
      </c>
      <c r="J67" s="24" t="str">
        <f t="shared" si="7"/>
        <v>OK</v>
      </c>
    </row>
    <row r="68" spans="1:10">
      <c r="A68" s="24">
        <f>BUDGET!A68</f>
        <v>4200</v>
      </c>
      <c r="B68" s="24" t="str">
        <f>BUDGET!B68</f>
        <v>Housewrap - Sub</v>
      </c>
      <c r="C68" s="25">
        <f>BUDGET!H68</f>
        <v>0</v>
      </c>
      <c r="D68" s="25">
        <f>SUMIF('QB JOB COST IMPORT'!$I$6:$I$210,A68,'QB JOB COST IMPORT'!$F$6:$F$210)</f>
        <v>0</v>
      </c>
      <c r="E68" s="25">
        <f>SUM('DRAW HISTORY'!C68:L68)</f>
        <v>0</v>
      </c>
      <c r="F68" s="16">
        <f t="shared" si="4"/>
        <v>0</v>
      </c>
      <c r="G68" s="25">
        <f t="shared" si="5"/>
        <v>0</v>
      </c>
      <c r="H68" s="24" t="str">
        <f>BUDGET!J68</f>
        <v>Yes</v>
      </c>
      <c r="I68" s="24" t="str">
        <f t="shared" si="6"/>
        <v>NO COST / NO BUDGET</v>
      </c>
      <c r="J68" s="24" t="str">
        <f t="shared" si="7"/>
        <v>OK</v>
      </c>
    </row>
    <row r="69" spans="1:10">
      <c r="A69" s="24">
        <f>BUDGET!A69</f>
        <v>5010</v>
      </c>
      <c r="B69" s="24" t="str">
        <f>BUDGET!B69</f>
        <v>Sheetrock - Materials</v>
      </c>
      <c r="C69" s="25">
        <f>BUDGET!H69</f>
        <v>0</v>
      </c>
      <c r="D69" s="25">
        <f>SUMIF('QB JOB COST IMPORT'!$I$6:$I$210,A69,'QB JOB COST IMPORT'!$F$6:$F$210)</f>
        <v>0</v>
      </c>
      <c r="E69" s="25">
        <f>SUM('DRAW HISTORY'!C69:L69)</f>
        <v>0</v>
      </c>
      <c r="F69" s="16">
        <f t="shared" si="4"/>
        <v>0</v>
      </c>
      <c r="G69" s="25">
        <f t="shared" si="5"/>
        <v>0</v>
      </c>
      <c r="H69" s="24" t="str">
        <f>BUDGET!J69</f>
        <v>Yes</v>
      </c>
      <c r="I69" s="24" t="str">
        <f t="shared" si="6"/>
        <v>NO COST / NO BUDGET</v>
      </c>
      <c r="J69" s="24" t="str">
        <f t="shared" si="7"/>
        <v>OK</v>
      </c>
    </row>
    <row r="70" spans="1:10">
      <c r="A70" s="24">
        <f>BUDGET!A70</f>
        <v>5011</v>
      </c>
      <c r="B70" s="24" t="str">
        <f>BUDGET!B70</f>
        <v>Sheetrock - Sub ***</v>
      </c>
      <c r="C70" s="25">
        <f>BUDGET!H70</f>
        <v>0</v>
      </c>
      <c r="D70" s="25">
        <f>SUMIF('QB JOB COST IMPORT'!$I$6:$I$210,A70,'QB JOB COST IMPORT'!$F$6:$F$210)</f>
        <v>0</v>
      </c>
      <c r="E70" s="25">
        <f>SUM('DRAW HISTORY'!C70:L70)</f>
        <v>0</v>
      </c>
      <c r="F70" s="16">
        <f t="shared" ref="F70:F101" si="8">IF(H70="Yes",D70-E70,0)</f>
        <v>0</v>
      </c>
      <c r="G70" s="25">
        <f t="shared" ref="G70:G101" si="9">D70-C70</f>
        <v>0</v>
      </c>
      <c r="H70" s="24" t="str">
        <f>BUDGET!J70</f>
        <v>Yes</v>
      </c>
      <c r="I70" s="24" t="str">
        <f t="shared" ref="I70:I101" si="10">IF(D70=0,IF(C70=0,"NO COST / NO BUDGET","NO QB ACTUAL"),"MATCHED")</f>
        <v>NO COST / NO BUDGET</v>
      </c>
      <c r="J70" s="24" t="str">
        <f t="shared" ref="J70:J101" si="11">IF(E70&gt;D70,"PRIOR BILLING EXCEEDS QB ACTUAL",IF(G70&gt;0,"OVER BUDGET","OK"))</f>
        <v>OK</v>
      </c>
    </row>
    <row r="71" spans="1:10">
      <c r="A71" s="24">
        <f>BUDGET!A71</f>
        <v>5020</v>
      </c>
      <c r="B71" s="24" t="str">
        <f>BUDGET!B71</f>
        <v>Garage Doors - Sub</v>
      </c>
      <c r="C71" s="25">
        <f>BUDGET!H71</f>
        <v>0</v>
      </c>
      <c r="D71" s="25">
        <f>SUMIF('QB JOB COST IMPORT'!$I$6:$I$210,A71,'QB JOB COST IMPORT'!$F$6:$F$210)</f>
        <v>0</v>
      </c>
      <c r="E71" s="25">
        <f>SUM('DRAW HISTORY'!C71:L71)</f>
        <v>0</v>
      </c>
      <c r="F71" s="16">
        <f t="shared" si="8"/>
        <v>0</v>
      </c>
      <c r="G71" s="25">
        <f t="shared" si="9"/>
        <v>0</v>
      </c>
      <c r="H71" s="24" t="str">
        <f>BUDGET!J71</f>
        <v>Yes</v>
      </c>
      <c r="I71" s="24" t="str">
        <f t="shared" si="10"/>
        <v>NO COST / NO BUDGET</v>
      </c>
      <c r="J71" s="24" t="str">
        <f t="shared" si="11"/>
        <v>OK</v>
      </c>
    </row>
    <row r="72" spans="1:10">
      <c r="A72" s="24">
        <f>BUDGET!A72</f>
        <v>5030</v>
      </c>
      <c r="B72" s="24" t="str">
        <f>BUDGET!B72</f>
        <v>Drive/Walk/Patio - M</v>
      </c>
      <c r="C72" s="25">
        <f>BUDGET!H72</f>
        <v>0</v>
      </c>
      <c r="D72" s="25">
        <f>SUMIF('QB JOB COST IMPORT'!$I$6:$I$210,A72,'QB JOB COST IMPORT'!$F$6:$F$210)</f>
        <v>0</v>
      </c>
      <c r="E72" s="25">
        <f>SUM('DRAW HISTORY'!C72:L72)</f>
        <v>0</v>
      </c>
      <c r="F72" s="16">
        <f t="shared" si="8"/>
        <v>0</v>
      </c>
      <c r="G72" s="25">
        <f t="shared" si="9"/>
        <v>0</v>
      </c>
      <c r="H72" s="24" t="str">
        <f>BUDGET!J72</f>
        <v>Yes</v>
      </c>
      <c r="I72" s="24" t="str">
        <f t="shared" si="10"/>
        <v>NO COST / NO BUDGET</v>
      </c>
      <c r="J72" s="24" t="str">
        <f t="shared" si="11"/>
        <v>OK</v>
      </c>
    </row>
    <row r="73" spans="1:10">
      <c r="A73" s="24">
        <f>BUDGET!A73</f>
        <v>5031</v>
      </c>
      <c r="B73" s="24" t="str">
        <f>BUDGET!B73</f>
        <v>Drive/Walk/Patio - S</v>
      </c>
      <c r="C73" s="25">
        <f>BUDGET!H73</f>
        <v>0</v>
      </c>
      <c r="D73" s="25">
        <f>SUMIF('QB JOB COST IMPORT'!$I$6:$I$210,A73,'QB JOB COST IMPORT'!$F$6:$F$210)</f>
        <v>0</v>
      </c>
      <c r="E73" s="25">
        <f>SUM('DRAW HISTORY'!C73:L73)</f>
        <v>0</v>
      </c>
      <c r="F73" s="16">
        <f t="shared" si="8"/>
        <v>0</v>
      </c>
      <c r="G73" s="25">
        <f t="shared" si="9"/>
        <v>0</v>
      </c>
      <c r="H73" s="24" t="str">
        <f>BUDGET!J73</f>
        <v>Yes</v>
      </c>
      <c r="I73" s="24" t="str">
        <f t="shared" si="10"/>
        <v>NO COST / NO BUDGET</v>
      </c>
      <c r="J73" s="24" t="str">
        <f t="shared" si="11"/>
        <v>OK</v>
      </c>
    </row>
    <row r="74" spans="1:10">
      <c r="A74" s="24">
        <f>BUDGET!A74</f>
        <v>5035</v>
      </c>
      <c r="B74" s="24" t="str">
        <f>BUDGET!B74</f>
        <v>Public Walks - Conc</v>
      </c>
      <c r="C74" s="25">
        <f>BUDGET!H74</f>
        <v>0</v>
      </c>
      <c r="D74" s="25">
        <f>SUMIF('QB JOB COST IMPORT'!$I$6:$I$210,A74,'QB JOB COST IMPORT'!$F$6:$F$210)</f>
        <v>0</v>
      </c>
      <c r="E74" s="25">
        <f>SUM('DRAW HISTORY'!C74:L74)</f>
        <v>0</v>
      </c>
      <c r="F74" s="16">
        <f t="shared" si="8"/>
        <v>0</v>
      </c>
      <c r="G74" s="25">
        <f t="shared" si="9"/>
        <v>0</v>
      </c>
      <c r="H74" s="24" t="str">
        <f>BUDGET!J74</f>
        <v>Yes</v>
      </c>
      <c r="I74" s="24" t="str">
        <f t="shared" si="10"/>
        <v>NO COST / NO BUDGET</v>
      </c>
      <c r="J74" s="24" t="str">
        <f t="shared" si="11"/>
        <v>OK</v>
      </c>
    </row>
    <row r="75" spans="1:10">
      <c r="A75" s="24">
        <f>BUDGET!A75</f>
        <v>5036</v>
      </c>
      <c r="B75" s="24" t="str">
        <f>BUDGET!B75</f>
        <v>Public Walks - Sub</v>
      </c>
      <c r="C75" s="25">
        <f>BUDGET!H75</f>
        <v>0</v>
      </c>
      <c r="D75" s="25">
        <f>SUMIF('QB JOB COST IMPORT'!$I$6:$I$210,A75,'QB JOB COST IMPORT'!$F$6:$F$210)</f>
        <v>0</v>
      </c>
      <c r="E75" s="25">
        <f>SUM('DRAW HISTORY'!C75:L75)</f>
        <v>0</v>
      </c>
      <c r="F75" s="16">
        <f t="shared" si="8"/>
        <v>0</v>
      </c>
      <c r="G75" s="25">
        <f t="shared" si="9"/>
        <v>0</v>
      </c>
      <c r="H75" s="24" t="str">
        <f>BUDGET!J75</f>
        <v>Yes</v>
      </c>
      <c r="I75" s="24" t="str">
        <f t="shared" si="10"/>
        <v>NO COST / NO BUDGET</v>
      </c>
      <c r="J75" s="24" t="str">
        <f t="shared" si="11"/>
        <v>OK</v>
      </c>
    </row>
    <row r="76" spans="1:10">
      <c r="A76" s="24">
        <f>BUDGET!A76</f>
        <v>5045</v>
      </c>
      <c r="B76" s="24" t="str">
        <f>BUDGET!B76</f>
        <v>Lockout - Materials</v>
      </c>
      <c r="C76" s="25">
        <f>BUDGET!H76</f>
        <v>0</v>
      </c>
      <c r="D76" s="25">
        <f>SUMIF('QB JOB COST IMPORT'!$I$6:$I$210,A76,'QB JOB COST IMPORT'!$F$6:$F$210)</f>
        <v>0</v>
      </c>
      <c r="E76" s="25">
        <f>SUM('DRAW HISTORY'!C76:L76)</f>
        <v>0</v>
      </c>
      <c r="F76" s="16">
        <f t="shared" si="8"/>
        <v>0</v>
      </c>
      <c r="G76" s="25">
        <f t="shared" si="9"/>
        <v>0</v>
      </c>
      <c r="H76" s="24" t="str">
        <f>BUDGET!J76</f>
        <v>Yes</v>
      </c>
      <c r="I76" s="24" t="str">
        <f t="shared" si="10"/>
        <v>NO COST / NO BUDGET</v>
      </c>
      <c r="J76" s="24" t="str">
        <f t="shared" si="11"/>
        <v>OK</v>
      </c>
    </row>
    <row r="77" spans="1:10">
      <c r="A77" s="24">
        <f>BUDGET!A77</f>
        <v>5046</v>
      </c>
      <c r="B77" s="24" t="str">
        <f>BUDGET!B77</f>
        <v>Lockout - Sub</v>
      </c>
      <c r="C77" s="25">
        <f>BUDGET!H77</f>
        <v>0</v>
      </c>
      <c r="D77" s="25">
        <f>SUMIF('QB JOB COST IMPORT'!$I$6:$I$210,A77,'QB JOB COST IMPORT'!$F$6:$F$210)</f>
        <v>0</v>
      </c>
      <c r="E77" s="25">
        <f>SUM('DRAW HISTORY'!C77:L77)</f>
        <v>0</v>
      </c>
      <c r="F77" s="16">
        <f t="shared" si="8"/>
        <v>0</v>
      </c>
      <c r="G77" s="25">
        <f t="shared" si="9"/>
        <v>0</v>
      </c>
      <c r="H77" s="24" t="str">
        <f>BUDGET!J77</f>
        <v>Yes</v>
      </c>
      <c r="I77" s="24" t="str">
        <f t="shared" si="10"/>
        <v>NO COST / NO BUDGET</v>
      </c>
      <c r="J77" s="24" t="str">
        <f t="shared" si="11"/>
        <v>OK</v>
      </c>
    </row>
    <row r="78" spans="1:10">
      <c r="A78" s="24">
        <f>BUDGET!A78</f>
        <v>5049</v>
      </c>
      <c r="B78" s="24" t="str">
        <f>BUDGET!B78</f>
        <v>Trim - Materials</v>
      </c>
      <c r="C78" s="25">
        <f>BUDGET!H78</f>
        <v>0</v>
      </c>
      <c r="D78" s="25">
        <f>SUMIF('QB JOB COST IMPORT'!$I$6:$I$210,A78,'QB JOB COST IMPORT'!$F$6:$F$210)</f>
        <v>0</v>
      </c>
      <c r="E78" s="25">
        <f>SUM('DRAW HISTORY'!C78:L78)</f>
        <v>0</v>
      </c>
      <c r="F78" s="16">
        <f t="shared" si="8"/>
        <v>0</v>
      </c>
      <c r="G78" s="25">
        <f t="shared" si="9"/>
        <v>0</v>
      </c>
      <c r="H78" s="24" t="str">
        <f>BUDGET!J78</f>
        <v>Yes</v>
      </c>
      <c r="I78" s="24" t="str">
        <f t="shared" si="10"/>
        <v>NO COST / NO BUDGET</v>
      </c>
      <c r="J78" s="24" t="str">
        <f t="shared" si="11"/>
        <v>OK</v>
      </c>
    </row>
    <row r="79" spans="1:10">
      <c r="A79" s="24">
        <f>BUDGET!A79</f>
        <v>5050</v>
      </c>
      <c r="B79" s="24" t="str">
        <f>BUDGET!B79</f>
        <v>Trim -Int Doors - Mat</v>
      </c>
      <c r="C79" s="25">
        <f>BUDGET!H79</f>
        <v>0</v>
      </c>
      <c r="D79" s="25">
        <f>SUMIF('QB JOB COST IMPORT'!$I$6:$I$210,A79,'QB JOB COST IMPORT'!$F$6:$F$210)</f>
        <v>0</v>
      </c>
      <c r="E79" s="25">
        <f>SUM('DRAW HISTORY'!C79:L79)</f>
        <v>0</v>
      </c>
      <c r="F79" s="16">
        <f t="shared" si="8"/>
        <v>0</v>
      </c>
      <c r="G79" s="25">
        <f t="shared" si="9"/>
        <v>0</v>
      </c>
      <c r="H79" s="24" t="str">
        <f>BUDGET!J79</f>
        <v>Yes</v>
      </c>
      <c r="I79" s="24" t="str">
        <f t="shared" si="10"/>
        <v>NO COST / NO BUDGET</v>
      </c>
      <c r="J79" s="24" t="str">
        <f t="shared" si="11"/>
        <v>OK</v>
      </c>
    </row>
    <row r="80" spans="1:10">
      <c r="A80" s="24">
        <f>BUDGET!A80</f>
        <v>5051</v>
      </c>
      <c r="B80" s="24" t="str">
        <f>BUDGET!B80</f>
        <v>Trim - Sub</v>
      </c>
      <c r="C80" s="25">
        <f>BUDGET!H80</f>
        <v>0</v>
      </c>
      <c r="D80" s="25">
        <f>SUMIF('QB JOB COST IMPORT'!$I$6:$I$210,A80,'QB JOB COST IMPORT'!$F$6:$F$210)</f>
        <v>0</v>
      </c>
      <c r="E80" s="25">
        <f>SUM('DRAW HISTORY'!C80:L80)</f>
        <v>0</v>
      </c>
      <c r="F80" s="16">
        <f t="shared" si="8"/>
        <v>0</v>
      </c>
      <c r="G80" s="25">
        <f t="shared" si="9"/>
        <v>0</v>
      </c>
      <c r="H80" s="24" t="str">
        <f>BUDGET!J80</f>
        <v>Yes</v>
      </c>
      <c r="I80" s="24" t="str">
        <f t="shared" si="10"/>
        <v>NO COST / NO BUDGET</v>
      </c>
      <c r="J80" s="24" t="str">
        <f t="shared" si="11"/>
        <v>OK</v>
      </c>
    </row>
    <row r="81" spans="1:10">
      <c r="A81" s="24">
        <f>BUDGET!A81</f>
        <v>5055</v>
      </c>
      <c r="B81" s="24" t="str">
        <f>BUDGET!B81</f>
        <v>Stair Parts - Mat</v>
      </c>
      <c r="C81" s="25">
        <f>BUDGET!H81</f>
        <v>0</v>
      </c>
      <c r="D81" s="25">
        <f>SUMIF('QB JOB COST IMPORT'!$I$6:$I$210,A81,'QB JOB COST IMPORT'!$F$6:$F$210)</f>
        <v>0</v>
      </c>
      <c r="E81" s="25">
        <f>SUM('DRAW HISTORY'!C81:L81)</f>
        <v>0</v>
      </c>
      <c r="F81" s="16">
        <f t="shared" si="8"/>
        <v>0</v>
      </c>
      <c r="G81" s="25">
        <f t="shared" si="9"/>
        <v>0</v>
      </c>
      <c r="H81" s="24" t="str">
        <f>BUDGET!J81</f>
        <v>Yes</v>
      </c>
      <c r="I81" s="24" t="str">
        <f t="shared" si="10"/>
        <v>NO COST / NO BUDGET</v>
      </c>
      <c r="J81" s="24" t="str">
        <f t="shared" si="11"/>
        <v>OK</v>
      </c>
    </row>
    <row r="82" spans="1:10">
      <c r="A82" s="24">
        <f>BUDGET!A82</f>
        <v>5060</v>
      </c>
      <c r="B82" s="24" t="str">
        <f>BUDGET!B82</f>
        <v>Gutters - Sub</v>
      </c>
      <c r="C82" s="25">
        <f>BUDGET!H82</f>
        <v>0</v>
      </c>
      <c r="D82" s="25">
        <f>SUMIF('QB JOB COST IMPORT'!$I$6:$I$210,A82,'QB JOB COST IMPORT'!$F$6:$F$210)</f>
        <v>0</v>
      </c>
      <c r="E82" s="25">
        <f>SUM('DRAW HISTORY'!C82:L82)</f>
        <v>0</v>
      </c>
      <c r="F82" s="16">
        <f t="shared" si="8"/>
        <v>0</v>
      </c>
      <c r="G82" s="25">
        <f t="shared" si="9"/>
        <v>0</v>
      </c>
      <c r="H82" s="24" t="str">
        <f>BUDGET!J82</f>
        <v>Yes</v>
      </c>
      <c r="I82" s="24" t="str">
        <f t="shared" si="10"/>
        <v>NO COST / NO BUDGET</v>
      </c>
      <c r="J82" s="24" t="str">
        <f t="shared" si="11"/>
        <v>OK</v>
      </c>
    </row>
    <row r="83" spans="1:10">
      <c r="A83" s="24">
        <f>BUDGET!A83</f>
        <v>5065</v>
      </c>
      <c r="B83" s="24" t="str">
        <f>BUDGET!B83</f>
        <v>Metal Roof - Sub</v>
      </c>
      <c r="C83" s="25">
        <f>BUDGET!H83</f>
        <v>0</v>
      </c>
      <c r="D83" s="25">
        <f>SUMIF('QB JOB COST IMPORT'!$I$6:$I$210,A83,'QB JOB COST IMPORT'!$F$6:$F$210)</f>
        <v>0</v>
      </c>
      <c r="E83" s="25">
        <f>SUM('DRAW HISTORY'!C83:L83)</f>
        <v>0</v>
      </c>
      <c r="F83" s="16">
        <f t="shared" si="8"/>
        <v>0</v>
      </c>
      <c r="G83" s="25">
        <f t="shared" si="9"/>
        <v>0</v>
      </c>
      <c r="H83" s="24" t="str">
        <f>BUDGET!J83</f>
        <v>Yes</v>
      </c>
      <c r="I83" s="24" t="str">
        <f t="shared" si="10"/>
        <v>NO COST / NO BUDGET</v>
      </c>
      <c r="J83" s="24" t="str">
        <f t="shared" si="11"/>
        <v>OK</v>
      </c>
    </row>
    <row r="84" spans="1:10">
      <c r="A84" s="24">
        <f>BUDGET!A84</f>
        <v>5070</v>
      </c>
      <c r="B84" s="24" t="str">
        <f>BUDGET!B84</f>
        <v>Cabinets - Sub</v>
      </c>
      <c r="C84" s="25">
        <f>BUDGET!H84</f>
        <v>0</v>
      </c>
      <c r="D84" s="25">
        <f>SUMIF('QB JOB COST IMPORT'!$I$6:$I$210,A84,'QB JOB COST IMPORT'!$F$6:$F$210)</f>
        <v>0</v>
      </c>
      <c r="E84" s="25">
        <f>SUM('DRAW HISTORY'!C84:L84)</f>
        <v>0</v>
      </c>
      <c r="F84" s="16">
        <f t="shared" si="8"/>
        <v>0</v>
      </c>
      <c r="G84" s="25">
        <f t="shared" si="9"/>
        <v>0</v>
      </c>
      <c r="H84" s="24" t="str">
        <f>BUDGET!J84</f>
        <v>Yes</v>
      </c>
      <c r="I84" s="24" t="str">
        <f t="shared" si="10"/>
        <v>NO COST / NO BUDGET</v>
      </c>
      <c r="J84" s="24" t="str">
        <f t="shared" si="11"/>
        <v>OK</v>
      </c>
    </row>
    <row r="85" spans="1:10">
      <c r="A85" s="24">
        <f>BUDGET!A85</f>
        <v>5075</v>
      </c>
      <c r="B85" s="24" t="str">
        <f>BUDGET!B85</f>
        <v>Countertops - Sub</v>
      </c>
      <c r="C85" s="25">
        <f>BUDGET!H85</f>
        <v>0</v>
      </c>
      <c r="D85" s="25">
        <f>SUMIF('QB JOB COST IMPORT'!$I$6:$I$210,A85,'QB JOB COST IMPORT'!$F$6:$F$210)</f>
        <v>0</v>
      </c>
      <c r="E85" s="25">
        <f>SUM('DRAW HISTORY'!C85:L85)</f>
        <v>0</v>
      </c>
      <c r="F85" s="16">
        <f t="shared" si="8"/>
        <v>0</v>
      </c>
      <c r="G85" s="25">
        <f t="shared" si="9"/>
        <v>0</v>
      </c>
      <c r="H85" s="24" t="str">
        <f>BUDGET!J85</f>
        <v>Yes</v>
      </c>
      <c r="I85" s="24" t="str">
        <f t="shared" si="10"/>
        <v>NO COST / NO BUDGET</v>
      </c>
      <c r="J85" s="24" t="str">
        <f t="shared" si="11"/>
        <v>OK</v>
      </c>
    </row>
    <row r="86" spans="1:10">
      <c r="A86" s="24">
        <f>BUDGET!A86</f>
        <v>5080</v>
      </c>
      <c r="B86" s="24" t="str">
        <f>BUDGET!B86</f>
        <v>Paint - Sub</v>
      </c>
      <c r="C86" s="25">
        <f>BUDGET!H86</f>
        <v>0</v>
      </c>
      <c r="D86" s="25">
        <f>SUMIF('QB JOB COST IMPORT'!$I$6:$I$210,A86,'QB JOB COST IMPORT'!$F$6:$F$210)</f>
        <v>0</v>
      </c>
      <c r="E86" s="25">
        <f>SUM('DRAW HISTORY'!C86:L86)</f>
        <v>0</v>
      </c>
      <c r="F86" s="16">
        <f t="shared" si="8"/>
        <v>0</v>
      </c>
      <c r="G86" s="25">
        <f t="shared" si="9"/>
        <v>0</v>
      </c>
      <c r="H86" s="24" t="str">
        <f>BUDGET!J86</f>
        <v>Yes</v>
      </c>
      <c r="I86" s="24" t="str">
        <f t="shared" si="10"/>
        <v>NO COST / NO BUDGET</v>
      </c>
      <c r="J86" s="24" t="str">
        <f t="shared" si="11"/>
        <v>OK</v>
      </c>
    </row>
    <row r="87" spans="1:10">
      <c r="A87" s="24">
        <f>BUDGET!A87</f>
        <v>5090</v>
      </c>
      <c r="B87" s="24" t="str">
        <f>BUDGET!B87</f>
        <v>Sinks / Tubs</v>
      </c>
      <c r="C87" s="25">
        <f>BUDGET!H87</f>
        <v>0</v>
      </c>
      <c r="D87" s="25">
        <f>SUMIF('QB JOB COST IMPORT'!$I$6:$I$210,A87,'QB JOB COST IMPORT'!$F$6:$F$210)</f>
        <v>0</v>
      </c>
      <c r="E87" s="25">
        <f>SUM('DRAW HISTORY'!C87:L87)</f>
        <v>0</v>
      </c>
      <c r="F87" s="16">
        <f t="shared" si="8"/>
        <v>0</v>
      </c>
      <c r="G87" s="25">
        <f t="shared" si="9"/>
        <v>0</v>
      </c>
      <c r="H87" s="24" t="str">
        <f>BUDGET!J87</f>
        <v>Yes</v>
      </c>
      <c r="I87" s="24" t="str">
        <f t="shared" si="10"/>
        <v>NO COST / NO BUDGET</v>
      </c>
      <c r="J87" s="24" t="str">
        <f t="shared" si="11"/>
        <v>OK</v>
      </c>
    </row>
    <row r="88" spans="1:10">
      <c r="A88" s="24">
        <f>BUDGET!A88</f>
        <v>5095</v>
      </c>
      <c r="B88" s="24" t="str">
        <f>BUDGET!B88</f>
        <v>Cultured Marble - Sub</v>
      </c>
      <c r="C88" s="25">
        <f>BUDGET!H88</f>
        <v>0</v>
      </c>
      <c r="D88" s="25">
        <f>SUMIF('QB JOB COST IMPORT'!$I$6:$I$210,A88,'QB JOB COST IMPORT'!$F$6:$F$210)</f>
        <v>0</v>
      </c>
      <c r="E88" s="25">
        <f>SUM('DRAW HISTORY'!C88:L88)</f>
        <v>0</v>
      </c>
      <c r="F88" s="16">
        <f t="shared" si="8"/>
        <v>0</v>
      </c>
      <c r="G88" s="25">
        <f t="shared" si="9"/>
        <v>0</v>
      </c>
      <c r="H88" s="24" t="str">
        <f>BUDGET!J88</f>
        <v>Yes</v>
      </c>
      <c r="I88" s="24" t="str">
        <f t="shared" si="10"/>
        <v>NO COST / NO BUDGET</v>
      </c>
      <c r="J88" s="24" t="str">
        <f t="shared" si="11"/>
        <v>OK</v>
      </c>
    </row>
    <row r="89" spans="1:10">
      <c r="A89" s="24">
        <f>BUDGET!A89</f>
        <v>5100</v>
      </c>
      <c r="B89" s="24" t="str">
        <f>BUDGET!B89</f>
        <v>Fireplace Veneer - Mat</v>
      </c>
      <c r="C89" s="25">
        <f>BUDGET!H89</f>
        <v>0</v>
      </c>
      <c r="D89" s="25">
        <f>SUMIF('QB JOB COST IMPORT'!$I$6:$I$210,A89,'QB JOB COST IMPORT'!$F$6:$F$210)</f>
        <v>0</v>
      </c>
      <c r="E89" s="25">
        <f>SUM('DRAW HISTORY'!C89:L89)</f>
        <v>0</v>
      </c>
      <c r="F89" s="16">
        <f t="shared" si="8"/>
        <v>0</v>
      </c>
      <c r="G89" s="25">
        <f t="shared" si="9"/>
        <v>0</v>
      </c>
      <c r="H89" s="24" t="str">
        <f>BUDGET!J89</f>
        <v>Yes</v>
      </c>
      <c r="I89" s="24" t="str">
        <f t="shared" si="10"/>
        <v>NO COST / NO BUDGET</v>
      </c>
      <c r="J89" s="24" t="str">
        <f t="shared" si="11"/>
        <v>OK</v>
      </c>
    </row>
    <row r="90" spans="1:10">
      <c r="A90" s="24">
        <f>BUDGET!A90</f>
        <v>5101</v>
      </c>
      <c r="B90" s="24" t="str">
        <f>BUDGET!B90</f>
        <v>Fireplace Veneer - Sub</v>
      </c>
      <c r="C90" s="25">
        <f>BUDGET!H90</f>
        <v>0</v>
      </c>
      <c r="D90" s="25">
        <f>SUMIF('QB JOB COST IMPORT'!$I$6:$I$210,A90,'QB JOB COST IMPORT'!$F$6:$F$210)</f>
        <v>0</v>
      </c>
      <c r="E90" s="25">
        <f>SUM('DRAW HISTORY'!C90:L90)</f>
        <v>0</v>
      </c>
      <c r="F90" s="16">
        <f t="shared" si="8"/>
        <v>0</v>
      </c>
      <c r="G90" s="25">
        <f t="shared" si="9"/>
        <v>0</v>
      </c>
      <c r="H90" s="24" t="str">
        <f>BUDGET!J90</f>
        <v>Yes</v>
      </c>
      <c r="I90" s="24" t="str">
        <f t="shared" si="10"/>
        <v>NO COST / NO BUDGET</v>
      </c>
      <c r="J90" s="24" t="str">
        <f t="shared" si="11"/>
        <v>OK</v>
      </c>
    </row>
    <row r="91" spans="1:10">
      <c r="A91" s="24">
        <f>BUDGET!A91</f>
        <v>5111</v>
      </c>
      <c r="B91" s="24" t="str">
        <f>BUDGET!B91</f>
        <v>Ceramic Tile - Sub ***</v>
      </c>
      <c r="C91" s="25">
        <f>BUDGET!H91</f>
        <v>0</v>
      </c>
      <c r="D91" s="25">
        <f>SUMIF('QB JOB COST IMPORT'!$I$6:$I$210,A91,'QB JOB COST IMPORT'!$F$6:$F$210)</f>
        <v>0</v>
      </c>
      <c r="E91" s="25">
        <f>SUM('DRAW HISTORY'!C91:L91)</f>
        <v>0</v>
      </c>
      <c r="F91" s="16">
        <f t="shared" si="8"/>
        <v>0</v>
      </c>
      <c r="G91" s="25">
        <f t="shared" si="9"/>
        <v>0</v>
      </c>
      <c r="H91" s="24" t="str">
        <f>BUDGET!J91</f>
        <v>Yes</v>
      </c>
      <c r="I91" s="24" t="str">
        <f t="shared" si="10"/>
        <v>NO COST / NO BUDGET</v>
      </c>
      <c r="J91" s="24" t="str">
        <f t="shared" si="11"/>
        <v>OK</v>
      </c>
    </row>
    <row r="92" spans="1:10">
      <c r="A92" s="24">
        <f>BUDGET!A92</f>
        <v>5130</v>
      </c>
      <c r="B92" s="24" t="str">
        <f>BUDGET!B92</f>
        <v>Hardware/Supplies</v>
      </c>
      <c r="C92" s="25">
        <f>BUDGET!H92</f>
        <v>0</v>
      </c>
      <c r="D92" s="25">
        <f>SUMIF('QB JOB COST IMPORT'!$I$6:$I$210,A92,'QB JOB COST IMPORT'!$F$6:$F$210)</f>
        <v>0</v>
      </c>
      <c r="E92" s="25">
        <f>SUM('DRAW HISTORY'!C92:L92)</f>
        <v>0</v>
      </c>
      <c r="F92" s="16">
        <f t="shared" si="8"/>
        <v>0</v>
      </c>
      <c r="G92" s="25">
        <f t="shared" si="9"/>
        <v>0</v>
      </c>
      <c r="H92" s="24" t="str">
        <f>BUDGET!J92</f>
        <v>Yes</v>
      </c>
      <c r="I92" s="24" t="str">
        <f t="shared" si="10"/>
        <v>NO COST / NO BUDGET</v>
      </c>
      <c r="J92" s="24" t="str">
        <f t="shared" si="11"/>
        <v>OK</v>
      </c>
    </row>
    <row r="93" spans="1:10">
      <c r="A93" s="24">
        <f>BUDGET!A93</f>
        <v>5140</v>
      </c>
      <c r="B93" s="24" t="str">
        <f>BUDGET!B93</f>
        <v>Mirrors/Ecl/Shlve - Sub</v>
      </c>
      <c r="C93" s="25">
        <f>BUDGET!H93</f>
        <v>0</v>
      </c>
      <c r="D93" s="25">
        <f>SUMIF('QB JOB COST IMPORT'!$I$6:$I$210,A93,'QB JOB COST IMPORT'!$F$6:$F$210)</f>
        <v>0</v>
      </c>
      <c r="E93" s="25">
        <f>SUM('DRAW HISTORY'!C93:L93)</f>
        <v>0</v>
      </c>
      <c r="F93" s="16">
        <f t="shared" si="8"/>
        <v>0</v>
      </c>
      <c r="G93" s="25">
        <f t="shared" si="9"/>
        <v>0</v>
      </c>
      <c r="H93" s="24" t="str">
        <f>BUDGET!J93</f>
        <v>Yes</v>
      </c>
      <c r="I93" s="24" t="str">
        <f t="shared" si="10"/>
        <v>NO COST / NO BUDGET</v>
      </c>
      <c r="J93" s="24" t="str">
        <f t="shared" si="11"/>
        <v>OK</v>
      </c>
    </row>
    <row r="94" spans="1:10">
      <c r="A94" s="24">
        <f>BUDGET!A94</f>
        <v>5150</v>
      </c>
      <c r="B94" s="24" t="str">
        <f>BUDGET!B94</f>
        <v>Light Fixtures</v>
      </c>
      <c r="C94" s="25">
        <f>BUDGET!H94</f>
        <v>0</v>
      </c>
      <c r="D94" s="25">
        <f>SUMIF('QB JOB COST IMPORT'!$I$6:$I$210,A94,'QB JOB COST IMPORT'!$F$6:$F$210)</f>
        <v>0</v>
      </c>
      <c r="E94" s="25">
        <f>SUM('DRAW HISTORY'!C94:L94)</f>
        <v>0</v>
      </c>
      <c r="F94" s="16">
        <f t="shared" si="8"/>
        <v>0</v>
      </c>
      <c r="G94" s="25">
        <f t="shared" si="9"/>
        <v>0</v>
      </c>
      <c r="H94" s="24" t="str">
        <f>BUDGET!J94</f>
        <v>Yes</v>
      </c>
      <c r="I94" s="24" t="str">
        <f t="shared" si="10"/>
        <v>NO COST / NO BUDGET</v>
      </c>
      <c r="J94" s="24" t="str">
        <f t="shared" si="11"/>
        <v>OK</v>
      </c>
    </row>
    <row r="95" spans="1:10">
      <c r="A95" s="24">
        <f>BUDGET!A95</f>
        <v>5160</v>
      </c>
      <c r="B95" s="24" t="str">
        <f>BUDGET!B95</f>
        <v>Appliances - Material</v>
      </c>
      <c r="C95" s="25">
        <f>BUDGET!H95</f>
        <v>0</v>
      </c>
      <c r="D95" s="25">
        <f>SUMIF('QB JOB COST IMPORT'!$I$6:$I$210,A95,'QB JOB COST IMPORT'!$F$6:$F$210)</f>
        <v>0</v>
      </c>
      <c r="E95" s="25">
        <f>SUM('DRAW HISTORY'!C95:L95)</f>
        <v>0</v>
      </c>
      <c r="F95" s="16">
        <f t="shared" si="8"/>
        <v>0</v>
      </c>
      <c r="G95" s="25">
        <f t="shared" si="9"/>
        <v>0</v>
      </c>
      <c r="H95" s="24" t="str">
        <f>BUDGET!J95</f>
        <v>Yes</v>
      </c>
      <c r="I95" s="24" t="str">
        <f t="shared" si="10"/>
        <v>NO COST / NO BUDGET</v>
      </c>
      <c r="J95" s="24" t="str">
        <f t="shared" si="11"/>
        <v>OK</v>
      </c>
    </row>
    <row r="96" spans="1:10">
      <c r="A96" s="24">
        <f>BUDGET!A96</f>
        <v>5170</v>
      </c>
      <c r="B96" s="24" t="str">
        <f>BUDGET!B96</f>
        <v>Hardwoods - Sub ***</v>
      </c>
      <c r="C96" s="25">
        <f>BUDGET!H96</f>
        <v>0</v>
      </c>
      <c r="D96" s="25">
        <f>SUMIF('QB JOB COST IMPORT'!$I$6:$I$210,A96,'QB JOB COST IMPORT'!$F$6:$F$210)</f>
        <v>0</v>
      </c>
      <c r="E96" s="25">
        <f>SUM('DRAW HISTORY'!C96:L96)</f>
        <v>0</v>
      </c>
      <c r="F96" s="16">
        <f t="shared" si="8"/>
        <v>0</v>
      </c>
      <c r="G96" s="25">
        <f t="shared" si="9"/>
        <v>0</v>
      </c>
      <c r="H96" s="24" t="str">
        <f>BUDGET!J96</f>
        <v>Yes</v>
      </c>
      <c r="I96" s="24" t="str">
        <f t="shared" si="10"/>
        <v>NO COST / NO BUDGET</v>
      </c>
      <c r="J96" s="24" t="str">
        <f t="shared" si="11"/>
        <v>OK</v>
      </c>
    </row>
    <row r="97" spans="1:10">
      <c r="A97" s="24">
        <f>BUDGET!A97</f>
        <v>5180</v>
      </c>
      <c r="B97" s="24" t="str">
        <f>BUDGET!B97</f>
        <v>Vinyl Flooring - Sub</v>
      </c>
      <c r="C97" s="25">
        <f>BUDGET!H97</f>
        <v>0</v>
      </c>
      <c r="D97" s="25">
        <f>SUMIF('QB JOB COST IMPORT'!$I$6:$I$210,A97,'QB JOB COST IMPORT'!$F$6:$F$210)</f>
        <v>0</v>
      </c>
      <c r="E97" s="25">
        <f>SUM('DRAW HISTORY'!C97:L97)</f>
        <v>0</v>
      </c>
      <c r="F97" s="16">
        <f t="shared" si="8"/>
        <v>0</v>
      </c>
      <c r="G97" s="25">
        <f t="shared" si="9"/>
        <v>0</v>
      </c>
      <c r="H97" s="24" t="str">
        <f>BUDGET!J97</f>
        <v>Yes</v>
      </c>
      <c r="I97" s="24" t="str">
        <f t="shared" si="10"/>
        <v>NO COST / NO BUDGET</v>
      </c>
      <c r="J97" s="24" t="str">
        <f t="shared" si="11"/>
        <v>OK</v>
      </c>
    </row>
    <row r="98" spans="1:10">
      <c r="A98" s="24">
        <f>BUDGET!A98</f>
        <v>5190</v>
      </c>
      <c r="B98" s="24" t="str">
        <f>BUDGET!B98</f>
        <v>Carpet Flooring - Sub</v>
      </c>
      <c r="C98" s="25">
        <f>BUDGET!H98</f>
        <v>0</v>
      </c>
      <c r="D98" s="25">
        <f>SUMIF('QB JOB COST IMPORT'!$I$6:$I$210,A98,'QB JOB COST IMPORT'!$F$6:$F$210)</f>
        <v>0</v>
      </c>
      <c r="E98" s="25">
        <f>SUM('DRAW HISTORY'!C98:L98)</f>
        <v>0</v>
      </c>
      <c r="F98" s="16">
        <f t="shared" si="8"/>
        <v>0</v>
      </c>
      <c r="G98" s="25">
        <f t="shared" si="9"/>
        <v>0</v>
      </c>
      <c r="H98" s="24" t="str">
        <f>BUDGET!J98</f>
        <v>Yes</v>
      </c>
      <c r="I98" s="24" t="str">
        <f t="shared" si="10"/>
        <v>NO COST / NO BUDGET</v>
      </c>
      <c r="J98" s="24" t="str">
        <f t="shared" si="11"/>
        <v>OK</v>
      </c>
    </row>
    <row r="99" spans="1:10">
      <c r="A99" s="24">
        <f>BUDGET!A99</f>
        <v>5200</v>
      </c>
      <c r="B99" s="24" t="str">
        <f>BUDGET!B99</f>
        <v>Screens - Sub</v>
      </c>
      <c r="C99" s="25">
        <f>BUDGET!H99</f>
        <v>0</v>
      </c>
      <c r="D99" s="25">
        <f>SUMIF('QB JOB COST IMPORT'!$I$6:$I$210,A99,'QB JOB COST IMPORT'!$F$6:$F$210)</f>
        <v>0</v>
      </c>
      <c r="E99" s="25">
        <f>SUM('DRAW HISTORY'!C99:L99)</f>
        <v>0</v>
      </c>
      <c r="F99" s="16">
        <f t="shared" si="8"/>
        <v>0</v>
      </c>
      <c r="G99" s="25">
        <f t="shared" si="9"/>
        <v>0</v>
      </c>
      <c r="H99" s="24" t="str">
        <f>BUDGET!J99</f>
        <v>Yes</v>
      </c>
      <c r="I99" s="24" t="str">
        <f t="shared" si="10"/>
        <v>NO COST / NO BUDGET</v>
      </c>
      <c r="J99" s="24" t="str">
        <f t="shared" si="11"/>
        <v>OK</v>
      </c>
    </row>
    <row r="100" spans="1:10">
      <c r="A100" s="24">
        <f>BUDGET!A100</f>
        <v>5220</v>
      </c>
      <c r="B100" s="24" t="str">
        <f>BUDGET!B100</f>
        <v>Mailbox - Sub</v>
      </c>
      <c r="C100" s="25">
        <f>BUDGET!H100</f>
        <v>0</v>
      </c>
      <c r="D100" s="25">
        <f>SUMIF('QB JOB COST IMPORT'!$I$6:$I$210,A100,'QB JOB COST IMPORT'!$F$6:$F$210)</f>
        <v>0</v>
      </c>
      <c r="E100" s="25">
        <f>SUM('DRAW HISTORY'!C100:L100)</f>
        <v>0</v>
      </c>
      <c r="F100" s="16">
        <f t="shared" si="8"/>
        <v>0</v>
      </c>
      <c r="G100" s="25">
        <f t="shared" si="9"/>
        <v>0</v>
      </c>
      <c r="H100" s="24" t="str">
        <f>BUDGET!J100</f>
        <v>Yes</v>
      </c>
      <c r="I100" s="24" t="str">
        <f t="shared" si="10"/>
        <v>NO COST / NO BUDGET</v>
      </c>
      <c r="J100" s="24" t="str">
        <f t="shared" si="11"/>
        <v>OK</v>
      </c>
    </row>
    <row r="101" spans="1:10">
      <c r="A101" s="24">
        <f>BUDGET!A101</f>
        <v>5230</v>
      </c>
      <c r="B101" s="24" t="str">
        <f>BUDGET!B101</f>
        <v>Wrought Iron - Sub</v>
      </c>
      <c r="C101" s="25">
        <f>BUDGET!H101</f>
        <v>0</v>
      </c>
      <c r="D101" s="25">
        <f>SUMIF('QB JOB COST IMPORT'!$I$6:$I$210,A101,'QB JOB COST IMPORT'!$F$6:$F$210)</f>
        <v>0</v>
      </c>
      <c r="E101" s="25">
        <f>SUM('DRAW HISTORY'!C101:L101)</f>
        <v>0</v>
      </c>
      <c r="F101" s="16">
        <f t="shared" si="8"/>
        <v>0</v>
      </c>
      <c r="G101" s="25">
        <f t="shared" si="9"/>
        <v>0</v>
      </c>
      <c r="H101" s="24" t="str">
        <f>BUDGET!J101</f>
        <v>Yes</v>
      </c>
      <c r="I101" s="24" t="str">
        <f t="shared" si="10"/>
        <v>NO COST / NO BUDGET</v>
      </c>
      <c r="J101" s="24" t="str">
        <f t="shared" si="11"/>
        <v>OK</v>
      </c>
    </row>
    <row r="102" spans="1:10">
      <c r="A102" s="24">
        <f>BUDGET!A102</f>
        <v>5240</v>
      </c>
      <c r="B102" s="24" t="str">
        <f>BUDGET!B102</f>
        <v>Tub/Sink Repair - Sub</v>
      </c>
      <c r="C102" s="25">
        <f>BUDGET!H102</f>
        <v>0</v>
      </c>
      <c r="D102" s="25">
        <f>SUMIF('QB JOB COST IMPORT'!$I$6:$I$210,A102,'QB JOB COST IMPORT'!$F$6:$F$210)</f>
        <v>0</v>
      </c>
      <c r="E102" s="25">
        <f>SUM('DRAW HISTORY'!C102:L102)</f>
        <v>0</v>
      </c>
      <c r="F102" s="16">
        <f t="shared" ref="F102:F118" si="12">IF(H102="Yes",D102-E102,0)</f>
        <v>0</v>
      </c>
      <c r="G102" s="25">
        <f t="shared" ref="G102:G118" si="13">D102-C102</f>
        <v>0</v>
      </c>
      <c r="H102" s="24" t="str">
        <f>BUDGET!J102</f>
        <v>Yes</v>
      </c>
      <c r="I102" s="24" t="str">
        <f t="shared" ref="I102:I118" si="14">IF(D102=0,IF(C102=0,"NO COST / NO BUDGET","NO QB ACTUAL"),"MATCHED")</f>
        <v>NO COST / NO BUDGET</v>
      </c>
      <c r="J102" s="24" t="str">
        <f t="shared" ref="J102:J118" si="15">IF(E102&gt;D102,"PRIOR BILLING EXCEEDS QB ACTUAL",IF(G102&gt;0,"OVER BUDGET","OK"))</f>
        <v>OK</v>
      </c>
    </row>
    <row r="103" spans="1:10">
      <c r="A103" s="24">
        <f>BUDGET!A103</f>
        <v>5270</v>
      </c>
      <c r="B103" s="24" t="str">
        <f>BUDGET!B103</f>
        <v>Elevator - Sub</v>
      </c>
      <c r="C103" s="25">
        <f>BUDGET!H103</f>
        <v>0</v>
      </c>
      <c r="D103" s="25">
        <f>SUMIF('QB JOB COST IMPORT'!$I$6:$I$210,A103,'QB JOB COST IMPORT'!$F$6:$F$210)</f>
        <v>0</v>
      </c>
      <c r="E103" s="25">
        <f>SUM('DRAW HISTORY'!C103:L103)</f>
        <v>0</v>
      </c>
      <c r="F103" s="16">
        <f t="shared" si="12"/>
        <v>0</v>
      </c>
      <c r="G103" s="25">
        <f t="shared" si="13"/>
        <v>0</v>
      </c>
      <c r="H103" s="24" t="str">
        <f>BUDGET!J103</f>
        <v>Yes</v>
      </c>
      <c r="I103" s="24" t="str">
        <f t="shared" si="14"/>
        <v>NO COST / NO BUDGET</v>
      </c>
      <c r="J103" s="24" t="str">
        <f t="shared" si="15"/>
        <v>OK</v>
      </c>
    </row>
    <row r="104" spans="1:10">
      <c r="A104" s="24">
        <f>BUDGET!A104</f>
        <v>6040</v>
      </c>
      <c r="B104" s="24" t="str">
        <f>BUDGET!B104</f>
        <v>Irrigation System - Sub</v>
      </c>
      <c r="C104" s="25">
        <f>BUDGET!H104</f>
        <v>0</v>
      </c>
      <c r="D104" s="25">
        <f>SUMIF('QB JOB COST IMPORT'!$I$6:$I$210,A104,'QB JOB COST IMPORT'!$F$6:$F$210)</f>
        <v>0</v>
      </c>
      <c r="E104" s="25">
        <f>SUM('DRAW HISTORY'!C104:L104)</f>
        <v>0</v>
      </c>
      <c r="F104" s="16">
        <f t="shared" si="12"/>
        <v>0</v>
      </c>
      <c r="G104" s="25">
        <f t="shared" si="13"/>
        <v>0</v>
      </c>
      <c r="H104" s="24" t="str">
        <f>BUDGET!J104</f>
        <v>Yes</v>
      </c>
      <c r="I104" s="24" t="str">
        <f t="shared" si="14"/>
        <v>NO COST / NO BUDGET</v>
      </c>
      <c r="J104" s="24" t="str">
        <f t="shared" si="15"/>
        <v>OK</v>
      </c>
    </row>
    <row r="105" spans="1:10">
      <c r="A105" s="24">
        <f>BUDGET!A105</f>
        <v>6050</v>
      </c>
      <c r="B105" s="24" t="str">
        <f>BUDGET!B105</f>
        <v>Landscape - Sub</v>
      </c>
      <c r="C105" s="25">
        <f>BUDGET!H105</f>
        <v>0</v>
      </c>
      <c r="D105" s="25">
        <f>SUMIF('QB JOB COST IMPORT'!$I$6:$I$210,A105,'QB JOB COST IMPORT'!$F$6:$F$210)</f>
        <v>0</v>
      </c>
      <c r="E105" s="25">
        <f>SUM('DRAW HISTORY'!C105:L105)</f>
        <v>0</v>
      </c>
      <c r="F105" s="16">
        <f t="shared" si="12"/>
        <v>0</v>
      </c>
      <c r="G105" s="25">
        <f t="shared" si="13"/>
        <v>0</v>
      </c>
      <c r="H105" s="24" t="str">
        <f>BUDGET!J105</f>
        <v>Yes</v>
      </c>
      <c r="I105" s="24" t="str">
        <f t="shared" si="14"/>
        <v>NO COST / NO BUDGET</v>
      </c>
      <c r="J105" s="24" t="str">
        <f t="shared" si="15"/>
        <v>OK</v>
      </c>
    </row>
    <row r="106" spans="1:10">
      <c r="A106" s="24">
        <f>BUDGET!A106</f>
        <v>6060</v>
      </c>
      <c r="B106" s="24" t="str">
        <f>BUDGET!B106</f>
        <v>Fence</v>
      </c>
      <c r="C106" s="25">
        <f>BUDGET!H106</f>
        <v>0</v>
      </c>
      <c r="D106" s="25">
        <f>SUMIF('QB JOB COST IMPORT'!$I$6:$I$210,A106,'QB JOB COST IMPORT'!$F$6:$F$210)</f>
        <v>0</v>
      </c>
      <c r="E106" s="25">
        <f>SUM('DRAW HISTORY'!C106:L106)</f>
        <v>0</v>
      </c>
      <c r="F106" s="16">
        <f t="shared" si="12"/>
        <v>0</v>
      </c>
      <c r="G106" s="25">
        <f t="shared" si="13"/>
        <v>0</v>
      </c>
      <c r="H106" s="24" t="str">
        <f>BUDGET!J106</f>
        <v>Yes</v>
      </c>
      <c r="I106" s="24" t="str">
        <f t="shared" si="14"/>
        <v>NO COST / NO BUDGET</v>
      </c>
      <c r="J106" s="24" t="str">
        <f t="shared" si="15"/>
        <v>OK</v>
      </c>
    </row>
    <row r="107" spans="1:10">
      <c r="A107" s="24">
        <f>BUDGET!A107</f>
        <v>6070</v>
      </c>
      <c r="B107" s="24" t="str">
        <f>BUDGET!B107</f>
        <v>Window Clean - Sub</v>
      </c>
      <c r="C107" s="25">
        <f>BUDGET!H107</f>
        <v>0</v>
      </c>
      <c r="D107" s="25">
        <f>SUMIF('QB JOB COST IMPORT'!$I$6:$I$210,A107,'QB JOB COST IMPORT'!$F$6:$F$210)</f>
        <v>0</v>
      </c>
      <c r="E107" s="25">
        <f>SUM('DRAW HISTORY'!C107:L107)</f>
        <v>0</v>
      </c>
      <c r="F107" s="16">
        <f t="shared" si="12"/>
        <v>0</v>
      </c>
      <c r="G107" s="25">
        <f t="shared" si="13"/>
        <v>0</v>
      </c>
      <c r="H107" s="24" t="str">
        <f>BUDGET!J107</f>
        <v>Yes</v>
      </c>
      <c r="I107" s="24" t="str">
        <f t="shared" si="14"/>
        <v>NO COST / NO BUDGET</v>
      </c>
      <c r="J107" s="24" t="str">
        <f t="shared" si="15"/>
        <v>OK</v>
      </c>
    </row>
    <row r="108" spans="1:10">
      <c r="A108" s="24">
        <f>BUDGET!A108</f>
        <v>6080</v>
      </c>
      <c r="B108" s="24" t="str">
        <f>BUDGET!B108</f>
        <v>Interior Clean - Sub</v>
      </c>
      <c r="C108" s="25">
        <f>BUDGET!H108</f>
        <v>0</v>
      </c>
      <c r="D108" s="25">
        <f>SUMIF('QB JOB COST IMPORT'!$I$6:$I$210,A108,'QB JOB COST IMPORT'!$F$6:$F$210)</f>
        <v>0</v>
      </c>
      <c r="E108" s="25">
        <f>SUM('DRAW HISTORY'!C108:L108)</f>
        <v>0</v>
      </c>
      <c r="F108" s="16">
        <f t="shared" si="12"/>
        <v>0</v>
      </c>
      <c r="G108" s="25">
        <f t="shared" si="13"/>
        <v>0</v>
      </c>
      <c r="H108" s="24" t="str">
        <f>BUDGET!J108</f>
        <v>Yes</v>
      </c>
      <c r="I108" s="24" t="str">
        <f t="shared" si="14"/>
        <v>NO COST / NO BUDGET</v>
      </c>
      <c r="J108" s="24" t="str">
        <f t="shared" si="15"/>
        <v>OK</v>
      </c>
    </row>
    <row r="109" spans="1:10">
      <c r="A109" s="24">
        <f>BUDGET!A109</f>
        <v>6090</v>
      </c>
      <c r="B109" s="24" t="str">
        <f>BUDGET!B109</f>
        <v>Carpet Clean - Sub</v>
      </c>
      <c r="C109" s="25">
        <f>BUDGET!H109</f>
        <v>0</v>
      </c>
      <c r="D109" s="25">
        <f>SUMIF('QB JOB COST IMPORT'!$I$6:$I$210,A109,'QB JOB COST IMPORT'!$F$6:$F$210)</f>
        <v>0</v>
      </c>
      <c r="E109" s="25">
        <f>SUM('DRAW HISTORY'!C109:L109)</f>
        <v>0</v>
      </c>
      <c r="F109" s="16">
        <f t="shared" si="12"/>
        <v>0</v>
      </c>
      <c r="G109" s="25">
        <f t="shared" si="13"/>
        <v>0</v>
      </c>
      <c r="H109" s="24" t="str">
        <f>BUDGET!J109</f>
        <v>Yes</v>
      </c>
      <c r="I109" s="24" t="str">
        <f t="shared" si="14"/>
        <v>NO COST / NO BUDGET</v>
      </c>
      <c r="J109" s="24" t="str">
        <f t="shared" si="15"/>
        <v>OK</v>
      </c>
    </row>
    <row r="110" spans="1:10">
      <c r="A110" s="24">
        <f>BUDGET!A110</f>
        <v>6100</v>
      </c>
      <c r="B110" s="24" t="str">
        <f>BUDGET!B110</f>
        <v>Pressure Wash - Sub</v>
      </c>
      <c r="C110" s="25">
        <f>BUDGET!H110</f>
        <v>0</v>
      </c>
      <c r="D110" s="25">
        <f>SUMIF('QB JOB COST IMPORT'!$I$6:$I$210,A110,'QB JOB COST IMPORT'!$F$6:$F$210)</f>
        <v>0</v>
      </c>
      <c r="E110" s="25">
        <f>SUM('DRAW HISTORY'!C110:L110)</f>
        <v>0</v>
      </c>
      <c r="F110" s="16">
        <f t="shared" si="12"/>
        <v>0</v>
      </c>
      <c r="G110" s="25">
        <f t="shared" si="13"/>
        <v>0</v>
      </c>
      <c r="H110" s="24" t="str">
        <f>BUDGET!J110</f>
        <v>Yes</v>
      </c>
      <c r="I110" s="24" t="str">
        <f t="shared" si="14"/>
        <v>NO COST / NO BUDGET</v>
      </c>
      <c r="J110" s="24" t="str">
        <f t="shared" si="15"/>
        <v>OK</v>
      </c>
    </row>
    <row r="111" spans="1:10">
      <c r="A111" s="24">
        <f>BUDGET!A111</f>
        <v>6110</v>
      </c>
      <c r="B111" s="24" t="str">
        <f>BUDGET!B111</f>
        <v>Labor Cleanup / Punchout</v>
      </c>
      <c r="C111" s="25">
        <f>BUDGET!H111</f>
        <v>0</v>
      </c>
      <c r="D111" s="25">
        <f>SUMIF('QB JOB COST IMPORT'!$I$6:$I$210,A111,'QB JOB COST IMPORT'!$F$6:$F$210)</f>
        <v>0</v>
      </c>
      <c r="E111" s="25">
        <f>SUM('DRAW HISTORY'!C111:L111)</f>
        <v>0</v>
      </c>
      <c r="F111" s="16">
        <f t="shared" si="12"/>
        <v>0</v>
      </c>
      <c r="G111" s="25">
        <f t="shared" si="13"/>
        <v>0</v>
      </c>
      <c r="H111" s="24" t="str">
        <f>BUDGET!J111</f>
        <v>Yes</v>
      </c>
      <c r="I111" s="24" t="str">
        <f t="shared" si="14"/>
        <v>NO COST / NO BUDGET</v>
      </c>
      <c r="J111" s="24" t="str">
        <f t="shared" si="15"/>
        <v>OK</v>
      </c>
    </row>
    <row r="112" spans="1:10">
      <c r="A112" s="24">
        <f>BUDGET!A112</f>
        <v>7025</v>
      </c>
      <c r="B112" s="24" t="str">
        <f>BUDGET!B112</f>
        <v>Utilities - Water/Sewer</v>
      </c>
      <c r="C112" s="25">
        <f>BUDGET!H112</f>
        <v>0</v>
      </c>
      <c r="D112" s="25">
        <f>SUMIF('QB JOB COST IMPORT'!$I$6:$I$210,A112,'QB JOB COST IMPORT'!$F$6:$F$210)</f>
        <v>0</v>
      </c>
      <c r="E112" s="25">
        <f>SUM('DRAW HISTORY'!C112:L112)</f>
        <v>0</v>
      </c>
      <c r="F112" s="16">
        <f t="shared" si="12"/>
        <v>0</v>
      </c>
      <c r="G112" s="25">
        <f t="shared" si="13"/>
        <v>0</v>
      </c>
      <c r="H112" s="24" t="str">
        <f>BUDGET!J112</f>
        <v>Yes</v>
      </c>
      <c r="I112" s="24" t="str">
        <f t="shared" si="14"/>
        <v>NO COST / NO BUDGET</v>
      </c>
      <c r="J112" s="24" t="str">
        <f t="shared" si="15"/>
        <v>OK</v>
      </c>
    </row>
    <row r="113" spans="1:10">
      <c r="A113" s="24">
        <f>BUDGET!A113</f>
        <v>7050</v>
      </c>
      <c r="B113" s="24" t="str">
        <f>BUDGET!B113</f>
        <v>Pool, pavers, Fence</v>
      </c>
      <c r="C113" s="25">
        <f>BUDGET!H113</f>
        <v>0</v>
      </c>
      <c r="D113" s="25">
        <f>SUMIF('QB JOB COST IMPORT'!$I$6:$I$210,A113,'QB JOB COST IMPORT'!$F$6:$F$210)</f>
        <v>0</v>
      </c>
      <c r="E113" s="25">
        <f>SUM('DRAW HISTORY'!C113:L113)</f>
        <v>0</v>
      </c>
      <c r="F113" s="16">
        <f t="shared" si="12"/>
        <v>0</v>
      </c>
      <c r="G113" s="25">
        <f t="shared" si="13"/>
        <v>0</v>
      </c>
      <c r="H113" s="24" t="str">
        <f>BUDGET!J113</f>
        <v>Yes</v>
      </c>
      <c r="I113" s="24" t="str">
        <f t="shared" si="14"/>
        <v>NO COST / NO BUDGET</v>
      </c>
      <c r="J113" s="24" t="str">
        <f t="shared" si="15"/>
        <v>OK</v>
      </c>
    </row>
    <row r="114" spans="1:10">
      <c r="A114" s="24">
        <f>BUDGET!A114</f>
        <v>7055</v>
      </c>
      <c r="B114" s="24" t="str">
        <f>BUDGET!B114</f>
        <v>Interior Upgrades</v>
      </c>
      <c r="C114" s="25">
        <f>BUDGET!H114</f>
        <v>0</v>
      </c>
      <c r="D114" s="25">
        <f>SUMIF('QB JOB COST IMPORT'!$I$6:$I$210,A114,'QB JOB COST IMPORT'!$F$6:$F$210)</f>
        <v>0</v>
      </c>
      <c r="E114" s="25">
        <f>SUM('DRAW HISTORY'!C114:L114)</f>
        <v>0</v>
      </c>
      <c r="F114" s="16">
        <f t="shared" si="12"/>
        <v>0</v>
      </c>
      <c r="G114" s="25">
        <f t="shared" si="13"/>
        <v>0</v>
      </c>
      <c r="H114" s="24" t="str">
        <f>BUDGET!J114</f>
        <v>Yes</v>
      </c>
      <c r="I114" s="24" t="str">
        <f t="shared" si="14"/>
        <v>NO COST / NO BUDGET</v>
      </c>
      <c r="J114" s="24" t="str">
        <f t="shared" si="15"/>
        <v>OK</v>
      </c>
    </row>
    <row r="115" spans="1:10">
      <c r="A115" s="24">
        <f>BUDGET!A115</f>
        <v>7060</v>
      </c>
      <c r="B115" s="24" t="str">
        <f>BUDGET!B115</f>
        <v>Exterior Upgrades</v>
      </c>
      <c r="C115" s="25">
        <f>BUDGET!H115</f>
        <v>0</v>
      </c>
      <c r="D115" s="25">
        <f>SUMIF('QB JOB COST IMPORT'!$I$6:$I$210,A115,'QB JOB COST IMPORT'!$F$6:$F$210)</f>
        <v>0</v>
      </c>
      <c r="E115" s="25">
        <f>SUM('DRAW HISTORY'!C115:L115)</f>
        <v>0</v>
      </c>
      <c r="F115" s="16">
        <f t="shared" si="12"/>
        <v>0</v>
      </c>
      <c r="G115" s="25">
        <f t="shared" si="13"/>
        <v>0</v>
      </c>
      <c r="H115" s="24" t="str">
        <f>BUDGET!J115</f>
        <v>Yes</v>
      </c>
      <c r="I115" s="24" t="str">
        <f t="shared" si="14"/>
        <v>NO COST / NO BUDGET</v>
      </c>
      <c r="J115" s="24" t="str">
        <f t="shared" si="15"/>
        <v>OK</v>
      </c>
    </row>
    <row r="116" spans="1:10">
      <c r="A116" s="24">
        <f>BUDGET!A116</f>
        <v>7080</v>
      </c>
      <c r="B116" s="24" t="str">
        <f>BUDGET!B116</f>
        <v>Design Fee</v>
      </c>
      <c r="C116" s="25">
        <f>BUDGET!H116</f>
        <v>0</v>
      </c>
      <c r="D116" s="25">
        <f>SUMIF('QB JOB COST IMPORT'!$I$6:$I$210,A116,'QB JOB COST IMPORT'!$F$6:$F$210)</f>
        <v>0</v>
      </c>
      <c r="E116" s="25">
        <f>SUM('DRAW HISTORY'!C116:L116)</f>
        <v>0</v>
      </c>
      <c r="F116" s="16">
        <f t="shared" si="12"/>
        <v>0</v>
      </c>
      <c r="G116" s="25">
        <f t="shared" si="13"/>
        <v>0</v>
      </c>
      <c r="H116" s="24" t="str">
        <f>BUDGET!J116</f>
        <v>Yes</v>
      </c>
      <c r="I116" s="24" t="str">
        <f t="shared" si="14"/>
        <v>NO COST / NO BUDGET</v>
      </c>
      <c r="J116" s="24" t="str">
        <f t="shared" si="15"/>
        <v>OK</v>
      </c>
    </row>
    <row r="117" spans="1:10">
      <c r="A117" s="24">
        <f>BUDGET!A117</f>
        <v>7082</v>
      </c>
      <c r="B117" s="24" t="str">
        <f>BUDGET!B117</f>
        <v>Sales Commission</v>
      </c>
      <c r="C117" s="25">
        <f>BUDGET!H117</f>
        <v>0</v>
      </c>
      <c r="D117" s="25">
        <f>SUMIF('QB JOB COST IMPORT'!$I$6:$I$210,A117,'QB JOB COST IMPORT'!$F$6:$F$210)</f>
        <v>0</v>
      </c>
      <c r="E117" s="25">
        <f>SUM('DRAW HISTORY'!C117:L117)</f>
        <v>0</v>
      </c>
      <c r="F117" s="16">
        <f t="shared" si="12"/>
        <v>0</v>
      </c>
      <c r="G117" s="25">
        <f t="shared" si="13"/>
        <v>0</v>
      </c>
      <c r="H117" s="24" t="str">
        <f>BUDGET!J117</f>
        <v>No</v>
      </c>
      <c r="I117" s="24" t="str">
        <f t="shared" si="14"/>
        <v>NO COST / NO BUDGET</v>
      </c>
      <c r="J117" s="24" t="str">
        <f t="shared" si="15"/>
        <v>OK</v>
      </c>
    </row>
    <row r="118" spans="1:10">
      <c r="A118" s="24">
        <f>BUDGET!A118</f>
        <v>9999</v>
      </c>
      <c r="B118" s="24" t="str">
        <f>BUDGET!B118</f>
        <v>Transfer WIP to CGS</v>
      </c>
      <c r="C118" s="25">
        <f>BUDGET!H118</f>
        <v>0</v>
      </c>
      <c r="D118" s="25">
        <f>SUMIF('QB JOB COST IMPORT'!$I$6:$I$210,A118,'QB JOB COST IMPORT'!$F$6:$F$210)</f>
        <v>0</v>
      </c>
      <c r="E118" s="25">
        <f>SUM('DRAW HISTORY'!C118:L118)</f>
        <v>0</v>
      </c>
      <c r="F118" s="16">
        <f t="shared" si="12"/>
        <v>0</v>
      </c>
      <c r="G118" s="25">
        <f t="shared" si="13"/>
        <v>0</v>
      </c>
      <c r="H118" s="24" t="str">
        <f>BUDGET!J118</f>
        <v>No</v>
      </c>
      <c r="I118" s="24" t="str">
        <f t="shared" si="14"/>
        <v>NO COST / NO BUDGET</v>
      </c>
      <c r="J118" s="24" t="str">
        <f t="shared" si="15"/>
        <v>OK</v>
      </c>
    </row>
    <row r="119" spans="1:10">
      <c r="A119" s="1"/>
      <c r="B119" s="1"/>
      <c r="C119" s="1"/>
      <c r="D119" s="1"/>
      <c r="E119" s="1"/>
      <c r="F119" s="1"/>
      <c r="G119" s="1"/>
      <c r="H119" s="1"/>
      <c r="I119" s="1"/>
      <c r="J119" s="1"/>
    </row>
    <row r="120" spans="1:10">
      <c r="A120" s="51" t="s">
        <v>204</v>
      </c>
      <c r="B120" s="51"/>
      <c r="C120" s="26">
        <f>SUMIF(H6:H118,"Yes",C6:C118)</f>
        <v>0</v>
      </c>
      <c r="D120" s="26">
        <f>SUMIF(H6:H118,"Yes",D6:D118)</f>
        <v>0</v>
      </c>
      <c r="E120" s="26">
        <f>SUMIF(H6:H118,"Yes",E6:E118)</f>
        <v>0</v>
      </c>
      <c r="F120" s="26">
        <f>SUMIF(H6:H118,"Yes",F6:F118)</f>
        <v>0</v>
      </c>
      <c r="G120" s="26">
        <f>SUMIF(H6:H118,"Yes",G6:G118)</f>
        <v>0</v>
      </c>
      <c r="H120" s="26"/>
      <c r="I120" s="26"/>
      <c r="J120" s="26"/>
    </row>
  </sheetData>
  <mergeCells count="2">
    <mergeCell ref="A1:J2"/>
    <mergeCell ref="A120:B120"/>
  </mergeCells>
  <conditionalFormatting sqref="J6:J118">
    <cfRule type="containsText" dxfId="1" priority="1" operator="containsText" text="OVER"/>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8"/>
  <sheetViews>
    <sheetView showGridLines="0" workbookViewId="0">
      <selection activeCell="H6" sqref="H6"/>
    </sheetView>
  </sheetViews>
  <sheetFormatPr defaultRowHeight="13.8"/>
  <cols>
    <col min="1" max="1" width="9" customWidth="1"/>
    <col min="2" max="2" width="32" customWidth="1"/>
    <col min="3" max="12" width="15" customWidth="1"/>
  </cols>
  <sheetData>
    <row r="1" spans="1:12">
      <c r="A1" s="48" t="s">
        <v>205</v>
      </c>
      <c r="B1" s="48"/>
      <c r="C1" s="48"/>
      <c r="D1" s="48"/>
      <c r="E1" s="48"/>
      <c r="F1" s="48"/>
      <c r="G1" s="48"/>
      <c r="H1" s="48"/>
      <c r="I1" s="48"/>
      <c r="J1" s="48"/>
      <c r="K1" s="48"/>
      <c r="L1" s="48"/>
    </row>
    <row r="2" spans="1:12">
      <c r="A2" s="48"/>
      <c r="B2" s="48"/>
      <c r="C2" s="48"/>
      <c r="D2" s="48"/>
      <c r="E2" s="48"/>
      <c r="F2" s="48"/>
      <c r="G2" s="48"/>
      <c r="H2" s="48"/>
      <c r="I2" s="48"/>
      <c r="J2" s="48"/>
      <c r="K2" s="48"/>
      <c r="L2" s="48"/>
    </row>
    <row r="3" spans="1:12">
      <c r="A3" s="46" t="s">
        <v>206</v>
      </c>
      <c r="B3" s="46"/>
      <c r="C3" s="46"/>
      <c r="D3" s="46"/>
      <c r="E3" s="46"/>
      <c r="F3" s="46"/>
      <c r="G3" s="46"/>
      <c r="H3" s="46"/>
      <c r="I3" s="46"/>
      <c r="J3" s="46"/>
      <c r="K3" s="46"/>
      <c r="L3" s="46"/>
    </row>
    <row r="4" spans="1:12">
      <c r="A4" s="1"/>
      <c r="B4" s="1"/>
      <c r="C4" s="1"/>
      <c r="D4" s="1"/>
      <c r="E4" s="1"/>
      <c r="F4" s="1"/>
      <c r="G4" s="1"/>
      <c r="H4" s="1"/>
      <c r="I4" s="1"/>
      <c r="J4" s="1"/>
      <c r="K4" s="1"/>
      <c r="L4" s="1"/>
    </row>
    <row r="5" spans="1:12">
      <c r="A5" s="27" t="s">
        <v>54</v>
      </c>
      <c r="B5" s="27" t="s">
        <v>55</v>
      </c>
      <c r="C5" s="27" t="s">
        <v>207</v>
      </c>
      <c r="D5" s="27" t="s">
        <v>208</v>
      </c>
      <c r="E5" s="27" t="s">
        <v>209</v>
      </c>
      <c r="F5" s="27" t="s">
        <v>210</v>
      </c>
      <c r="G5" s="27" t="s">
        <v>211</v>
      </c>
      <c r="H5" s="27" t="s">
        <v>212</v>
      </c>
      <c r="I5" s="27" t="s">
        <v>213</v>
      </c>
      <c r="J5" s="27" t="s">
        <v>214</v>
      </c>
      <c r="K5" s="27" t="s">
        <v>215</v>
      </c>
      <c r="L5" s="27" t="s">
        <v>216</v>
      </c>
    </row>
    <row r="6" spans="1:12">
      <c r="A6" s="13">
        <v>1010</v>
      </c>
      <c r="B6" s="13" t="s">
        <v>70</v>
      </c>
      <c r="C6" s="14">
        <v>0</v>
      </c>
      <c r="D6" s="14">
        <v>0</v>
      </c>
      <c r="E6" s="14">
        <v>0</v>
      </c>
      <c r="F6" s="14">
        <v>0</v>
      </c>
      <c r="G6" s="14">
        <v>0</v>
      </c>
      <c r="H6" s="14">
        <v>0</v>
      </c>
      <c r="I6" s="14">
        <v>0</v>
      </c>
      <c r="J6" s="14">
        <v>0</v>
      </c>
      <c r="K6" s="14">
        <v>0</v>
      </c>
      <c r="L6" s="14">
        <v>0</v>
      </c>
    </row>
    <row r="7" spans="1:12">
      <c r="A7" s="13">
        <v>1011</v>
      </c>
      <c r="B7" s="13" t="s">
        <v>73</v>
      </c>
      <c r="C7" s="14">
        <v>0</v>
      </c>
      <c r="D7" s="14">
        <v>0</v>
      </c>
      <c r="E7" s="14">
        <v>0</v>
      </c>
      <c r="F7" s="14">
        <v>0</v>
      </c>
      <c r="G7" s="14">
        <v>0</v>
      </c>
      <c r="H7" s="14">
        <v>0</v>
      </c>
      <c r="I7" s="14">
        <v>0</v>
      </c>
      <c r="J7" s="14">
        <v>0</v>
      </c>
      <c r="K7" s="14">
        <v>0</v>
      </c>
      <c r="L7" s="14">
        <v>0</v>
      </c>
    </row>
    <row r="8" spans="1:12">
      <c r="A8" s="13">
        <v>1020</v>
      </c>
      <c r="B8" s="13" t="s">
        <v>74</v>
      </c>
      <c r="C8" s="14">
        <v>0</v>
      </c>
      <c r="D8" s="14">
        <v>0</v>
      </c>
      <c r="E8" s="14">
        <v>0</v>
      </c>
      <c r="F8" s="14">
        <v>0</v>
      </c>
      <c r="G8" s="14">
        <v>0</v>
      </c>
      <c r="H8" s="14">
        <v>0</v>
      </c>
      <c r="I8" s="14">
        <v>0</v>
      </c>
      <c r="J8" s="14">
        <v>0</v>
      </c>
      <c r="K8" s="14">
        <v>0</v>
      </c>
      <c r="L8" s="14">
        <v>0</v>
      </c>
    </row>
    <row r="9" spans="1:12">
      <c r="A9" s="13">
        <v>1070</v>
      </c>
      <c r="B9" s="13" t="s">
        <v>75</v>
      </c>
      <c r="C9" s="14">
        <v>0</v>
      </c>
      <c r="D9" s="14">
        <v>0</v>
      </c>
      <c r="E9" s="14">
        <v>0</v>
      </c>
      <c r="F9" s="14">
        <v>0</v>
      </c>
      <c r="G9" s="14">
        <v>0</v>
      </c>
      <c r="H9" s="14">
        <v>0</v>
      </c>
      <c r="I9" s="14">
        <v>0</v>
      </c>
      <c r="J9" s="14">
        <v>0</v>
      </c>
      <c r="K9" s="14">
        <v>0</v>
      </c>
      <c r="L9" s="14">
        <v>0</v>
      </c>
    </row>
    <row r="10" spans="1:12">
      <c r="A10" s="13">
        <v>1080</v>
      </c>
      <c r="B10" s="13" t="s">
        <v>76</v>
      </c>
      <c r="C10" s="14">
        <v>0</v>
      </c>
      <c r="D10" s="14">
        <v>0</v>
      </c>
      <c r="E10" s="14">
        <v>0</v>
      </c>
      <c r="F10" s="14">
        <v>0</v>
      </c>
      <c r="G10" s="14">
        <v>0</v>
      </c>
      <c r="H10" s="14">
        <v>0</v>
      </c>
      <c r="I10" s="14">
        <v>0</v>
      </c>
      <c r="J10" s="14">
        <v>0</v>
      </c>
      <c r="K10" s="14">
        <v>0</v>
      </c>
      <c r="L10" s="14">
        <v>0</v>
      </c>
    </row>
    <row r="11" spans="1:12">
      <c r="A11" s="13">
        <v>2010</v>
      </c>
      <c r="B11" s="13" t="s">
        <v>77</v>
      </c>
      <c r="C11" s="14">
        <v>0</v>
      </c>
      <c r="D11" s="14">
        <v>0</v>
      </c>
      <c r="E11" s="14">
        <v>0</v>
      </c>
      <c r="F11" s="14">
        <v>0</v>
      </c>
      <c r="G11" s="14">
        <v>0</v>
      </c>
      <c r="H11" s="14">
        <v>0</v>
      </c>
      <c r="I11" s="14">
        <v>0</v>
      </c>
      <c r="J11" s="14">
        <v>0</v>
      </c>
      <c r="K11" s="14">
        <v>0</v>
      </c>
      <c r="L11" s="14">
        <v>0</v>
      </c>
    </row>
    <row r="12" spans="1:12">
      <c r="A12" s="13">
        <v>2011</v>
      </c>
      <c r="B12" s="13" t="s">
        <v>79</v>
      </c>
      <c r="C12" s="14">
        <v>0</v>
      </c>
      <c r="D12" s="14">
        <v>0</v>
      </c>
      <c r="E12" s="14">
        <v>0</v>
      </c>
      <c r="F12" s="14">
        <v>0</v>
      </c>
      <c r="G12" s="14">
        <v>0</v>
      </c>
      <c r="H12" s="14">
        <v>0</v>
      </c>
      <c r="I12" s="14">
        <v>0</v>
      </c>
      <c r="J12" s="14">
        <v>0</v>
      </c>
      <c r="K12" s="14">
        <v>0</v>
      </c>
      <c r="L12" s="14">
        <v>0</v>
      </c>
    </row>
    <row r="13" spans="1:12">
      <c r="A13" s="13">
        <v>2012</v>
      </c>
      <c r="B13" s="13" t="s">
        <v>80</v>
      </c>
      <c r="C13" s="14">
        <v>0</v>
      </c>
      <c r="D13" s="14">
        <v>0</v>
      </c>
      <c r="E13" s="14">
        <v>0</v>
      </c>
      <c r="F13" s="14">
        <v>0</v>
      </c>
      <c r="G13" s="14">
        <v>0</v>
      </c>
      <c r="H13" s="14">
        <v>0</v>
      </c>
      <c r="I13" s="14">
        <v>0</v>
      </c>
      <c r="J13" s="14">
        <v>0</v>
      </c>
      <c r="K13" s="14">
        <v>0</v>
      </c>
      <c r="L13" s="14">
        <v>0</v>
      </c>
    </row>
    <row r="14" spans="1:12">
      <c r="A14" s="13">
        <v>2013</v>
      </c>
      <c r="B14" s="13" t="s">
        <v>81</v>
      </c>
      <c r="C14" s="14">
        <v>0</v>
      </c>
      <c r="D14" s="14">
        <v>0</v>
      </c>
      <c r="E14" s="14">
        <v>0</v>
      </c>
      <c r="F14" s="14">
        <v>0</v>
      </c>
      <c r="G14" s="14">
        <v>0</v>
      </c>
      <c r="H14" s="14">
        <v>0</v>
      </c>
      <c r="I14" s="14">
        <v>0</v>
      </c>
      <c r="J14" s="14">
        <v>0</v>
      </c>
      <c r="K14" s="14">
        <v>0</v>
      </c>
      <c r="L14" s="14">
        <v>0</v>
      </c>
    </row>
    <row r="15" spans="1:12">
      <c r="A15" s="13">
        <v>2014</v>
      </c>
      <c r="B15" s="13" t="s">
        <v>82</v>
      </c>
      <c r="C15" s="14">
        <v>0</v>
      </c>
      <c r="D15" s="14">
        <v>0</v>
      </c>
      <c r="E15" s="14">
        <v>0</v>
      </c>
      <c r="F15" s="14">
        <v>0</v>
      </c>
      <c r="G15" s="14">
        <v>0</v>
      </c>
      <c r="H15" s="14">
        <v>0</v>
      </c>
      <c r="I15" s="14">
        <v>0</v>
      </c>
      <c r="J15" s="14">
        <v>0</v>
      </c>
      <c r="K15" s="14">
        <v>0</v>
      </c>
      <c r="L15" s="14">
        <v>0</v>
      </c>
    </row>
    <row r="16" spans="1:12">
      <c r="A16" s="13">
        <v>2015</v>
      </c>
      <c r="B16" s="13" t="s">
        <v>83</v>
      </c>
      <c r="C16" s="14">
        <v>0</v>
      </c>
      <c r="D16" s="14">
        <v>0</v>
      </c>
      <c r="E16" s="14">
        <v>0</v>
      </c>
      <c r="F16" s="14">
        <v>0</v>
      </c>
      <c r="G16" s="14">
        <v>0</v>
      </c>
      <c r="H16" s="14">
        <v>0</v>
      </c>
      <c r="I16" s="14">
        <v>0</v>
      </c>
      <c r="J16" s="14">
        <v>0</v>
      </c>
      <c r="K16" s="14">
        <v>0</v>
      </c>
      <c r="L16" s="14">
        <v>0</v>
      </c>
    </row>
    <row r="17" spans="1:12">
      <c r="A17" s="13">
        <v>2016</v>
      </c>
      <c r="B17" s="13" t="s">
        <v>84</v>
      </c>
      <c r="C17" s="14">
        <v>0</v>
      </c>
      <c r="D17" s="14">
        <v>0</v>
      </c>
      <c r="E17" s="14">
        <v>0</v>
      </c>
      <c r="F17" s="14">
        <v>0</v>
      </c>
      <c r="G17" s="14">
        <v>0</v>
      </c>
      <c r="H17" s="14">
        <v>0</v>
      </c>
      <c r="I17" s="14">
        <v>0</v>
      </c>
      <c r="J17" s="14">
        <v>0</v>
      </c>
      <c r="K17" s="14">
        <v>0</v>
      </c>
      <c r="L17" s="14">
        <v>0</v>
      </c>
    </row>
    <row r="18" spans="1:12">
      <c r="A18" s="13">
        <v>2021</v>
      </c>
      <c r="B18" s="13" t="s">
        <v>85</v>
      </c>
      <c r="C18" s="14">
        <v>0</v>
      </c>
      <c r="D18" s="14">
        <v>0</v>
      </c>
      <c r="E18" s="14">
        <v>0</v>
      </c>
      <c r="F18" s="14">
        <v>0</v>
      </c>
      <c r="G18" s="14">
        <v>0</v>
      </c>
      <c r="H18" s="14">
        <v>0</v>
      </c>
      <c r="I18" s="14">
        <v>0</v>
      </c>
      <c r="J18" s="14">
        <v>0</v>
      </c>
      <c r="K18" s="14">
        <v>0</v>
      </c>
      <c r="L18" s="14">
        <v>0</v>
      </c>
    </row>
    <row r="19" spans="1:12">
      <c r="A19" s="13">
        <v>2030</v>
      </c>
      <c r="B19" s="13" t="s">
        <v>86</v>
      </c>
      <c r="C19" s="14">
        <v>0</v>
      </c>
      <c r="D19" s="14">
        <v>0</v>
      </c>
      <c r="E19" s="14">
        <v>0</v>
      </c>
      <c r="F19" s="14">
        <v>0</v>
      </c>
      <c r="G19" s="14">
        <v>0</v>
      </c>
      <c r="H19" s="14">
        <v>0</v>
      </c>
      <c r="I19" s="14">
        <v>0</v>
      </c>
      <c r="J19" s="14">
        <v>0</v>
      </c>
      <c r="K19" s="14">
        <v>0</v>
      </c>
      <c r="L19" s="14">
        <v>0</v>
      </c>
    </row>
    <row r="20" spans="1:12">
      <c r="A20" s="13">
        <v>2031</v>
      </c>
      <c r="B20" s="13" t="s">
        <v>87</v>
      </c>
      <c r="C20" s="14">
        <v>0</v>
      </c>
      <c r="D20" s="14">
        <v>0</v>
      </c>
      <c r="E20" s="14">
        <v>0</v>
      </c>
      <c r="F20" s="14">
        <v>0</v>
      </c>
      <c r="G20" s="14">
        <v>0</v>
      </c>
      <c r="H20" s="14">
        <v>0</v>
      </c>
      <c r="I20" s="14">
        <v>0</v>
      </c>
      <c r="J20" s="14">
        <v>0</v>
      </c>
      <c r="K20" s="14">
        <v>0</v>
      </c>
      <c r="L20" s="14">
        <v>0</v>
      </c>
    </row>
    <row r="21" spans="1:12">
      <c r="A21" s="13">
        <v>3005</v>
      </c>
      <c r="B21" s="13" t="s">
        <v>88</v>
      </c>
      <c r="C21" s="14">
        <v>0</v>
      </c>
      <c r="D21" s="14">
        <v>0</v>
      </c>
      <c r="E21" s="14">
        <v>0</v>
      </c>
      <c r="F21" s="14">
        <v>0</v>
      </c>
      <c r="G21" s="14">
        <v>0</v>
      </c>
      <c r="H21" s="14">
        <v>0</v>
      </c>
      <c r="I21" s="14">
        <v>0</v>
      </c>
      <c r="J21" s="14">
        <v>0</v>
      </c>
      <c r="K21" s="14">
        <v>0</v>
      </c>
      <c r="L21" s="14">
        <v>0</v>
      </c>
    </row>
    <row r="22" spans="1:12">
      <c r="A22" s="13">
        <v>3010</v>
      </c>
      <c r="B22" s="13" t="s">
        <v>90</v>
      </c>
      <c r="C22" s="14">
        <v>0</v>
      </c>
      <c r="D22" s="14">
        <v>0</v>
      </c>
      <c r="E22" s="14">
        <v>0</v>
      </c>
      <c r="F22" s="14">
        <v>0</v>
      </c>
      <c r="G22" s="14">
        <v>0</v>
      </c>
      <c r="H22" s="14">
        <v>0</v>
      </c>
      <c r="I22" s="14">
        <v>0</v>
      </c>
      <c r="J22" s="14">
        <v>0</v>
      </c>
      <c r="K22" s="14">
        <v>0</v>
      </c>
      <c r="L22" s="14">
        <v>0</v>
      </c>
    </row>
    <row r="23" spans="1:12">
      <c r="A23" s="13">
        <v>3011</v>
      </c>
      <c r="B23" s="13" t="s">
        <v>91</v>
      </c>
      <c r="C23" s="14">
        <v>0</v>
      </c>
      <c r="D23" s="14">
        <v>0</v>
      </c>
      <c r="E23" s="14">
        <v>0</v>
      </c>
      <c r="F23" s="14">
        <v>0</v>
      </c>
      <c r="G23" s="14">
        <v>0</v>
      </c>
      <c r="H23" s="14">
        <v>0</v>
      </c>
      <c r="I23" s="14">
        <v>0</v>
      </c>
      <c r="J23" s="14">
        <v>0</v>
      </c>
      <c r="K23" s="14">
        <v>0</v>
      </c>
      <c r="L23" s="14">
        <v>0</v>
      </c>
    </row>
    <row r="24" spans="1:12">
      <c r="A24" s="13">
        <v>3020</v>
      </c>
      <c r="B24" s="13" t="s">
        <v>92</v>
      </c>
      <c r="C24" s="14">
        <v>0</v>
      </c>
      <c r="D24" s="14">
        <v>0</v>
      </c>
      <c r="E24" s="14">
        <v>0</v>
      </c>
      <c r="F24" s="14">
        <v>0</v>
      </c>
      <c r="G24" s="14">
        <v>0</v>
      </c>
      <c r="H24" s="14">
        <v>0</v>
      </c>
      <c r="I24" s="14">
        <v>0</v>
      </c>
      <c r="J24" s="14">
        <v>0</v>
      </c>
      <c r="K24" s="14">
        <v>0</v>
      </c>
      <c r="L24" s="14">
        <v>0</v>
      </c>
    </row>
    <row r="25" spans="1:12">
      <c r="A25" s="13">
        <v>3021</v>
      </c>
      <c r="B25" s="13" t="s">
        <v>93</v>
      </c>
      <c r="C25" s="14">
        <v>0</v>
      </c>
      <c r="D25" s="14">
        <v>0</v>
      </c>
      <c r="E25" s="14">
        <v>0</v>
      </c>
      <c r="F25" s="14">
        <v>0</v>
      </c>
      <c r="G25" s="14">
        <v>0</v>
      </c>
      <c r="H25" s="14">
        <v>0</v>
      </c>
      <c r="I25" s="14">
        <v>0</v>
      </c>
      <c r="J25" s="14">
        <v>0</v>
      </c>
      <c r="K25" s="14">
        <v>0</v>
      </c>
      <c r="L25" s="14">
        <v>0</v>
      </c>
    </row>
    <row r="26" spans="1:12">
      <c r="A26" s="13">
        <v>3031</v>
      </c>
      <c r="B26" s="13" t="s">
        <v>94</v>
      </c>
      <c r="C26" s="14">
        <v>0</v>
      </c>
      <c r="D26" s="14">
        <v>0</v>
      </c>
      <c r="E26" s="14">
        <v>0</v>
      </c>
      <c r="F26" s="14">
        <v>0</v>
      </c>
      <c r="G26" s="14">
        <v>0</v>
      </c>
      <c r="H26" s="14">
        <v>0</v>
      </c>
      <c r="I26" s="14">
        <v>0</v>
      </c>
      <c r="J26" s="14">
        <v>0</v>
      </c>
      <c r="K26" s="14">
        <v>0</v>
      </c>
      <c r="L26" s="14">
        <v>0</v>
      </c>
    </row>
    <row r="27" spans="1:12">
      <c r="A27" s="13">
        <v>3050</v>
      </c>
      <c r="B27" s="13" t="s">
        <v>95</v>
      </c>
      <c r="C27" s="14">
        <v>0</v>
      </c>
      <c r="D27" s="14">
        <v>0</v>
      </c>
      <c r="E27" s="14">
        <v>0</v>
      </c>
      <c r="F27" s="14">
        <v>0</v>
      </c>
      <c r="G27" s="14">
        <v>0</v>
      </c>
      <c r="H27" s="14">
        <v>0</v>
      </c>
      <c r="I27" s="14">
        <v>0</v>
      </c>
      <c r="J27" s="14">
        <v>0</v>
      </c>
      <c r="K27" s="14">
        <v>0</v>
      </c>
      <c r="L27" s="14">
        <v>0</v>
      </c>
    </row>
    <row r="28" spans="1:12">
      <c r="A28" s="13">
        <v>3051</v>
      </c>
      <c r="B28" s="13" t="s">
        <v>96</v>
      </c>
      <c r="C28" s="14">
        <v>0</v>
      </c>
      <c r="D28" s="14">
        <v>0</v>
      </c>
      <c r="E28" s="14">
        <v>0</v>
      </c>
      <c r="F28" s="14">
        <v>0</v>
      </c>
      <c r="G28" s="14">
        <v>0</v>
      </c>
      <c r="H28" s="14">
        <v>0</v>
      </c>
      <c r="I28" s="14">
        <v>0</v>
      </c>
      <c r="J28" s="14">
        <v>0</v>
      </c>
      <c r="K28" s="14">
        <v>0</v>
      </c>
      <c r="L28" s="14">
        <v>0</v>
      </c>
    </row>
    <row r="29" spans="1:12">
      <c r="A29" s="13">
        <v>3070</v>
      </c>
      <c r="B29" s="13" t="s">
        <v>97</v>
      </c>
      <c r="C29" s="14">
        <v>0</v>
      </c>
      <c r="D29" s="14">
        <v>0</v>
      </c>
      <c r="E29" s="14">
        <v>0</v>
      </c>
      <c r="F29" s="14">
        <v>0</v>
      </c>
      <c r="G29" s="14">
        <v>0</v>
      </c>
      <c r="H29" s="14">
        <v>0</v>
      </c>
      <c r="I29" s="14">
        <v>0</v>
      </c>
      <c r="J29" s="14">
        <v>0</v>
      </c>
      <c r="K29" s="14">
        <v>0</v>
      </c>
      <c r="L29" s="14">
        <v>0</v>
      </c>
    </row>
    <row r="30" spans="1:12">
      <c r="A30" s="13">
        <v>3080</v>
      </c>
      <c r="B30" s="13" t="s">
        <v>98</v>
      </c>
      <c r="C30" s="14">
        <v>0</v>
      </c>
      <c r="D30" s="14">
        <v>0</v>
      </c>
      <c r="E30" s="14">
        <v>0</v>
      </c>
      <c r="F30" s="14">
        <v>0</v>
      </c>
      <c r="G30" s="14">
        <v>0</v>
      </c>
      <c r="H30" s="14">
        <v>0</v>
      </c>
      <c r="I30" s="14">
        <v>0</v>
      </c>
      <c r="J30" s="14">
        <v>0</v>
      </c>
      <c r="K30" s="14">
        <v>0</v>
      </c>
      <c r="L30" s="14">
        <v>0</v>
      </c>
    </row>
    <row r="31" spans="1:12">
      <c r="A31" s="13">
        <v>3090</v>
      </c>
      <c r="B31" s="13" t="s">
        <v>99</v>
      </c>
      <c r="C31" s="14">
        <v>0</v>
      </c>
      <c r="D31" s="14">
        <v>0</v>
      </c>
      <c r="E31" s="14">
        <v>0</v>
      </c>
      <c r="F31" s="14">
        <v>0</v>
      </c>
      <c r="G31" s="14">
        <v>0</v>
      </c>
      <c r="H31" s="14">
        <v>0</v>
      </c>
      <c r="I31" s="14">
        <v>0</v>
      </c>
      <c r="J31" s="14">
        <v>0</v>
      </c>
      <c r="K31" s="14">
        <v>0</v>
      </c>
      <c r="L31" s="14">
        <v>0</v>
      </c>
    </row>
    <row r="32" spans="1:12">
      <c r="A32" s="13">
        <v>3095</v>
      </c>
      <c r="B32" s="13" t="s">
        <v>100</v>
      </c>
      <c r="C32" s="14">
        <v>0</v>
      </c>
      <c r="D32" s="14">
        <v>0</v>
      </c>
      <c r="E32" s="14">
        <v>0</v>
      </c>
      <c r="F32" s="14">
        <v>0</v>
      </c>
      <c r="G32" s="14">
        <v>0</v>
      </c>
      <c r="H32" s="14">
        <v>0</v>
      </c>
      <c r="I32" s="14">
        <v>0</v>
      </c>
      <c r="J32" s="14">
        <v>0</v>
      </c>
      <c r="K32" s="14">
        <v>0</v>
      </c>
      <c r="L32" s="14">
        <v>0</v>
      </c>
    </row>
    <row r="33" spans="1:12">
      <c r="A33" s="13">
        <v>3096</v>
      </c>
      <c r="B33" s="13" t="s">
        <v>101</v>
      </c>
      <c r="C33" s="14">
        <v>0</v>
      </c>
      <c r="D33" s="14">
        <v>0</v>
      </c>
      <c r="E33" s="14">
        <v>0</v>
      </c>
      <c r="F33" s="14">
        <v>0</v>
      </c>
      <c r="G33" s="14">
        <v>0</v>
      </c>
      <c r="H33" s="14">
        <v>0</v>
      </c>
      <c r="I33" s="14">
        <v>0</v>
      </c>
      <c r="J33" s="14">
        <v>0</v>
      </c>
      <c r="K33" s="14">
        <v>0</v>
      </c>
      <c r="L33" s="14">
        <v>0</v>
      </c>
    </row>
    <row r="34" spans="1:12">
      <c r="A34" s="13">
        <v>4010</v>
      </c>
      <c r="B34" s="13" t="s">
        <v>102</v>
      </c>
      <c r="C34" s="14">
        <v>0</v>
      </c>
      <c r="D34" s="14">
        <v>0</v>
      </c>
      <c r="E34" s="14">
        <v>0</v>
      </c>
      <c r="F34" s="14">
        <v>0</v>
      </c>
      <c r="G34" s="14">
        <v>0</v>
      </c>
      <c r="H34" s="14">
        <v>0</v>
      </c>
      <c r="I34" s="14">
        <v>0</v>
      </c>
      <c r="J34" s="14">
        <v>0</v>
      </c>
      <c r="K34" s="14">
        <v>0</v>
      </c>
      <c r="L34" s="14">
        <v>0</v>
      </c>
    </row>
    <row r="35" spans="1:12">
      <c r="A35" s="13">
        <v>4011</v>
      </c>
      <c r="B35" s="13" t="s">
        <v>104</v>
      </c>
      <c r="C35" s="14">
        <v>0</v>
      </c>
      <c r="D35" s="14">
        <v>0</v>
      </c>
      <c r="E35" s="14">
        <v>0</v>
      </c>
      <c r="F35" s="14">
        <v>0</v>
      </c>
      <c r="G35" s="14">
        <v>0</v>
      </c>
      <c r="H35" s="14">
        <v>0</v>
      </c>
      <c r="I35" s="14">
        <v>0</v>
      </c>
      <c r="J35" s="14">
        <v>0</v>
      </c>
      <c r="K35" s="14">
        <v>0</v>
      </c>
      <c r="L35" s="14">
        <v>0</v>
      </c>
    </row>
    <row r="36" spans="1:12">
      <c r="A36" s="13">
        <v>4020</v>
      </c>
      <c r="B36" s="13" t="s">
        <v>105</v>
      </c>
      <c r="C36" s="14">
        <v>0</v>
      </c>
      <c r="D36" s="14">
        <v>0</v>
      </c>
      <c r="E36" s="14">
        <v>0</v>
      </c>
      <c r="F36" s="14">
        <v>0</v>
      </c>
      <c r="G36" s="14">
        <v>0</v>
      </c>
      <c r="H36" s="14">
        <v>0</v>
      </c>
      <c r="I36" s="14">
        <v>0</v>
      </c>
      <c r="J36" s="14">
        <v>0</v>
      </c>
      <c r="K36" s="14">
        <v>0</v>
      </c>
      <c r="L36" s="14">
        <v>0</v>
      </c>
    </row>
    <row r="37" spans="1:12">
      <c r="A37" s="13">
        <v>4021</v>
      </c>
      <c r="B37" s="13" t="s">
        <v>106</v>
      </c>
      <c r="C37" s="14">
        <v>0</v>
      </c>
      <c r="D37" s="14">
        <v>0</v>
      </c>
      <c r="E37" s="14">
        <v>0</v>
      </c>
      <c r="F37" s="14">
        <v>0</v>
      </c>
      <c r="G37" s="14">
        <v>0</v>
      </c>
      <c r="H37" s="14">
        <v>0</v>
      </c>
      <c r="I37" s="14">
        <v>0</v>
      </c>
      <c r="J37" s="14">
        <v>0</v>
      </c>
      <c r="K37" s="14">
        <v>0</v>
      </c>
      <c r="L37" s="14">
        <v>0</v>
      </c>
    </row>
    <row r="38" spans="1:12">
      <c r="A38" s="13">
        <v>4030</v>
      </c>
      <c r="B38" s="13" t="s">
        <v>107</v>
      </c>
      <c r="C38" s="14">
        <v>0</v>
      </c>
      <c r="D38" s="14">
        <v>0</v>
      </c>
      <c r="E38" s="14">
        <v>0</v>
      </c>
      <c r="F38" s="14">
        <v>0</v>
      </c>
      <c r="G38" s="14">
        <v>0</v>
      </c>
      <c r="H38" s="14">
        <v>0</v>
      </c>
      <c r="I38" s="14">
        <v>0</v>
      </c>
      <c r="J38" s="14">
        <v>0</v>
      </c>
      <c r="K38" s="14">
        <v>0</v>
      </c>
      <c r="L38" s="14">
        <v>0</v>
      </c>
    </row>
    <row r="39" spans="1:12">
      <c r="A39" s="13">
        <v>4031</v>
      </c>
      <c r="B39" s="13" t="s">
        <v>108</v>
      </c>
      <c r="C39" s="14">
        <v>0</v>
      </c>
      <c r="D39" s="14">
        <v>0</v>
      </c>
      <c r="E39" s="14">
        <v>0</v>
      </c>
      <c r="F39" s="14">
        <v>0</v>
      </c>
      <c r="G39" s="14">
        <v>0</v>
      </c>
      <c r="H39" s="14">
        <v>0</v>
      </c>
      <c r="I39" s="14">
        <v>0</v>
      </c>
      <c r="J39" s="14">
        <v>0</v>
      </c>
      <c r="K39" s="14">
        <v>0</v>
      </c>
      <c r="L39" s="14">
        <v>0</v>
      </c>
    </row>
    <row r="40" spans="1:12">
      <c r="A40" s="13">
        <v>4032</v>
      </c>
      <c r="B40" s="13" t="s">
        <v>109</v>
      </c>
      <c r="C40" s="14">
        <v>0</v>
      </c>
      <c r="D40" s="14">
        <v>0</v>
      </c>
      <c r="E40" s="14">
        <v>0</v>
      </c>
      <c r="F40" s="14">
        <v>0</v>
      </c>
      <c r="G40" s="14">
        <v>0</v>
      </c>
      <c r="H40" s="14">
        <v>0</v>
      </c>
      <c r="I40" s="14">
        <v>0</v>
      </c>
      <c r="J40" s="14">
        <v>0</v>
      </c>
      <c r="K40" s="14">
        <v>0</v>
      </c>
      <c r="L40" s="14">
        <v>0</v>
      </c>
    </row>
    <row r="41" spans="1:12">
      <c r="A41" s="13">
        <v>4040</v>
      </c>
      <c r="B41" s="13" t="s">
        <v>110</v>
      </c>
      <c r="C41" s="14">
        <v>0</v>
      </c>
      <c r="D41" s="14">
        <v>0</v>
      </c>
      <c r="E41" s="14">
        <v>0</v>
      </c>
      <c r="F41" s="14">
        <v>0</v>
      </c>
      <c r="G41" s="14">
        <v>0</v>
      </c>
      <c r="H41" s="14">
        <v>0</v>
      </c>
      <c r="I41" s="14">
        <v>0</v>
      </c>
      <c r="J41" s="14">
        <v>0</v>
      </c>
      <c r="K41" s="14">
        <v>0</v>
      </c>
      <c r="L41" s="14">
        <v>0</v>
      </c>
    </row>
    <row r="42" spans="1:12">
      <c r="A42" s="13">
        <v>4041</v>
      </c>
      <c r="B42" s="13" t="s">
        <v>111</v>
      </c>
      <c r="C42" s="14">
        <v>0</v>
      </c>
      <c r="D42" s="14">
        <v>0</v>
      </c>
      <c r="E42" s="14">
        <v>0</v>
      </c>
      <c r="F42" s="14">
        <v>0</v>
      </c>
      <c r="G42" s="14">
        <v>0</v>
      </c>
      <c r="H42" s="14">
        <v>0</v>
      </c>
      <c r="I42" s="14">
        <v>0</v>
      </c>
      <c r="J42" s="14">
        <v>0</v>
      </c>
      <c r="K42" s="14">
        <v>0</v>
      </c>
      <c r="L42" s="14">
        <v>0</v>
      </c>
    </row>
    <row r="43" spans="1:12">
      <c r="A43" s="13">
        <v>4050</v>
      </c>
      <c r="B43" s="13" t="s">
        <v>112</v>
      </c>
      <c r="C43" s="14">
        <v>0</v>
      </c>
      <c r="D43" s="14">
        <v>0</v>
      </c>
      <c r="E43" s="14">
        <v>0</v>
      </c>
      <c r="F43" s="14">
        <v>0</v>
      </c>
      <c r="G43" s="14">
        <v>0</v>
      </c>
      <c r="H43" s="14">
        <v>0</v>
      </c>
      <c r="I43" s="14">
        <v>0</v>
      </c>
      <c r="J43" s="14">
        <v>0</v>
      </c>
      <c r="K43" s="14">
        <v>0</v>
      </c>
      <c r="L43" s="14">
        <v>0</v>
      </c>
    </row>
    <row r="44" spans="1:12">
      <c r="A44" s="13">
        <v>4051</v>
      </c>
      <c r="B44" s="13" t="s">
        <v>113</v>
      </c>
      <c r="C44" s="14">
        <v>0</v>
      </c>
      <c r="D44" s="14">
        <v>0</v>
      </c>
      <c r="E44" s="14">
        <v>0</v>
      </c>
      <c r="F44" s="14">
        <v>0</v>
      </c>
      <c r="G44" s="14">
        <v>0</v>
      </c>
      <c r="H44" s="14">
        <v>0</v>
      </c>
      <c r="I44" s="14">
        <v>0</v>
      </c>
      <c r="J44" s="14">
        <v>0</v>
      </c>
      <c r="K44" s="14">
        <v>0</v>
      </c>
      <c r="L44" s="14">
        <v>0</v>
      </c>
    </row>
    <row r="45" spans="1:12">
      <c r="A45" s="13">
        <v>4060</v>
      </c>
      <c r="B45" s="13" t="s">
        <v>114</v>
      </c>
      <c r="C45" s="14">
        <v>0</v>
      </c>
      <c r="D45" s="14">
        <v>0</v>
      </c>
      <c r="E45" s="14">
        <v>0</v>
      </c>
      <c r="F45" s="14">
        <v>0</v>
      </c>
      <c r="G45" s="14">
        <v>0</v>
      </c>
      <c r="H45" s="14">
        <v>0</v>
      </c>
      <c r="I45" s="14">
        <v>0</v>
      </c>
      <c r="J45" s="14">
        <v>0</v>
      </c>
      <c r="K45" s="14">
        <v>0</v>
      </c>
      <c r="L45" s="14">
        <v>0</v>
      </c>
    </row>
    <row r="46" spans="1:12">
      <c r="A46" s="13">
        <v>4061</v>
      </c>
      <c r="B46" s="13" t="s">
        <v>115</v>
      </c>
      <c r="C46" s="14">
        <v>0</v>
      </c>
      <c r="D46" s="14">
        <v>0</v>
      </c>
      <c r="E46" s="14">
        <v>0</v>
      </c>
      <c r="F46" s="14">
        <v>0</v>
      </c>
      <c r="G46" s="14">
        <v>0</v>
      </c>
      <c r="H46" s="14">
        <v>0</v>
      </c>
      <c r="I46" s="14">
        <v>0</v>
      </c>
      <c r="J46" s="14">
        <v>0</v>
      </c>
      <c r="K46" s="14">
        <v>0</v>
      </c>
      <c r="L46" s="14">
        <v>0</v>
      </c>
    </row>
    <row r="47" spans="1:12">
      <c r="A47" s="13">
        <v>4070</v>
      </c>
      <c r="B47" s="13" t="s">
        <v>116</v>
      </c>
      <c r="C47" s="14">
        <v>0</v>
      </c>
      <c r="D47" s="14">
        <v>0</v>
      </c>
      <c r="E47" s="14">
        <v>0</v>
      </c>
      <c r="F47" s="14">
        <v>0</v>
      </c>
      <c r="G47" s="14">
        <v>0</v>
      </c>
      <c r="H47" s="14">
        <v>0</v>
      </c>
      <c r="I47" s="14">
        <v>0</v>
      </c>
      <c r="J47" s="14">
        <v>0</v>
      </c>
      <c r="K47" s="14">
        <v>0</v>
      </c>
      <c r="L47" s="14">
        <v>0</v>
      </c>
    </row>
    <row r="48" spans="1:12">
      <c r="A48" s="13">
        <v>4071</v>
      </c>
      <c r="B48" s="13" t="s">
        <v>117</v>
      </c>
      <c r="C48" s="14">
        <v>0</v>
      </c>
      <c r="D48" s="14">
        <v>0</v>
      </c>
      <c r="E48" s="14">
        <v>0</v>
      </c>
      <c r="F48" s="14">
        <v>0</v>
      </c>
      <c r="G48" s="14">
        <v>0</v>
      </c>
      <c r="H48" s="14">
        <v>0</v>
      </c>
      <c r="I48" s="14">
        <v>0</v>
      </c>
      <c r="J48" s="14">
        <v>0</v>
      </c>
      <c r="K48" s="14">
        <v>0</v>
      </c>
      <c r="L48" s="14">
        <v>0</v>
      </c>
    </row>
    <row r="49" spans="1:12">
      <c r="A49" s="13">
        <v>4080</v>
      </c>
      <c r="B49" s="13" t="s">
        <v>118</v>
      </c>
      <c r="C49" s="14">
        <v>0</v>
      </c>
      <c r="D49" s="14">
        <v>0</v>
      </c>
      <c r="E49" s="14">
        <v>0</v>
      </c>
      <c r="F49" s="14">
        <v>0</v>
      </c>
      <c r="G49" s="14">
        <v>0</v>
      </c>
      <c r="H49" s="14">
        <v>0</v>
      </c>
      <c r="I49" s="14">
        <v>0</v>
      </c>
      <c r="J49" s="14">
        <v>0</v>
      </c>
      <c r="K49" s="14">
        <v>0</v>
      </c>
      <c r="L49" s="14">
        <v>0</v>
      </c>
    </row>
    <row r="50" spans="1:12">
      <c r="A50" s="13">
        <v>4082</v>
      </c>
      <c r="B50" s="13" t="s">
        <v>119</v>
      </c>
      <c r="C50" s="14">
        <v>0</v>
      </c>
      <c r="D50" s="14">
        <v>0</v>
      </c>
      <c r="E50" s="14">
        <v>0</v>
      </c>
      <c r="F50" s="14">
        <v>0</v>
      </c>
      <c r="G50" s="14">
        <v>0</v>
      </c>
      <c r="H50" s="14">
        <v>0</v>
      </c>
      <c r="I50" s="14">
        <v>0</v>
      </c>
      <c r="J50" s="14">
        <v>0</v>
      </c>
      <c r="K50" s="14">
        <v>0</v>
      </c>
      <c r="L50" s="14">
        <v>0</v>
      </c>
    </row>
    <row r="51" spans="1:12">
      <c r="A51" s="13">
        <v>4085</v>
      </c>
      <c r="B51" s="13" t="s">
        <v>120</v>
      </c>
      <c r="C51" s="14">
        <v>0</v>
      </c>
      <c r="D51" s="14">
        <v>0</v>
      </c>
      <c r="E51" s="14">
        <v>0</v>
      </c>
      <c r="F51" s="14">
        <v>0</v>
      </c>
      <c r="G51" s="14">
        <v>0</v>
      </c>
      <c r="H51" s="14">
        <v>0</v>
      </c>
      <c r="I51" s="14">
        <v>0</v>
      </c>
      <c r="J51" s="14">
        <v>0</v>
      </c>
      <c r="K51" s="14">
        <v>0</v>
      </c>
      <c r="L51" s="14">
        <v>0</v>
      </c>
    </row>
    <row r="52" spans="1:12">
      <c r="A52" s="13">
        <v>4086</v>
      </c>
      <c r="B52" s="13" t="s">
        <v>121</v>
      </c>
      <c r="C52" s="14">
        <v>0</v>
      </c>
      <c r="D52" s="14">
        <v>0</v>
      </c>
      <c r="E52" s="14">
        <v>0</v>
      </c>
      <c r="F52" s="14">
        <v>0</v>
      </c>
      <c r="G52" s="14">
        <v>0</v>
      </c>
      <c r="H52" s="14">
        <v>0</v>
      </c>
      <c r="I52" s="14">
        <v>0</v>
      </c>
      <c r="J52" s="14">
        <v>0</v>
      </c>
      <c r="K52" s="14">
        <v>0</v>
      </c>
      <c r="L52" s="14">
        <v>0</v>
      </c>
    </row>
    <row r="53" spans="1:12">
      <c r="A53" s="13">
        <v>4090</v>
      </c>
      <c r="B53" s="13" t="s">
        <v>122</v>
      </c>
      <c r="C53" s="14">
        <v>0</v>
      </c>
      <c r="D53" s="14">
        <v>0</v>
      </c>
      <c r="E53" s="14">
        <v>0</v>
      </c>
      <c r="F53" s="14">
        <v>0</v>
      </c>
      <c r="G53" s="14">
        <v>0</v>
      </c>
      <c r="H53" s="14">
        <v>0</v>
      </c>
      <c r="I53" s="14">
        <v>0</v>
      </c>
      <c r="J53" s="14">
        <v>0</v>
      </c>
      <c r="K53" s="14">
        <v>0</v>
      </c>
      <c r="L53" s="14">
        <v>0</v>
      </c>
    </row>
    <row r="54" spans="1:12">
      <c r="A54" s="13">
        <v>4100</v>
      </c>
      <c r="B54" s="13" t="s">
        <v>123</v>
      </c>
      <c r="C54" s="14">
        <v>0</v>
      </c>
      <c r="D54" s="14">
        <v>0</v>
      </c>
      <c r="E54" s="14">
        <v>0</v>
      </c>
      <c r="F54" s="14">
        <v>0</v>
      </c>
      <c r="G54" s="14">
        <v>0</v>
      </c>
      <c r="H54" s="14">
        <v>0</v>
      </c>
      <c r="I54" s="14">
        <v>0</v>
      </c>
      <c r="J54" s="14">
        <v>0</v>
      </c>
      <c r="K54" s="14">
        <v>0</v>
      </c>
      <c r="L54" s="14">
        <v>0</v>
      </c>
    </row>
    <row r="55" spans="1:12">
      <c r="A55" s="13">
        <v>4110</v>
      </c>
      <c r="B55" s="13" t="s">
        <v>124</v>
      </c>
      <c r="C55" s="14">
        <v>0</v>
      </c>
      <c r="D55" s="14">
        <v>0</v>
      </c>
      <c r="E55" s="14">
        <v>0</v>
      </c>
      <c r="F55" s="14">
        <v>0</v>
      </c>
      <c r="G55" s="14">
        <v>0</v>
      </c>
      <c r="H55" s="14">
        <v>0</v>
      </c>
      <c r="I55" s="14">
        <v>0</v>
      </c>
      <c r="J55" s="14">
        <v>0</v>
      </c>
      <c r="K55" s="14">
        <v>0</v>
      </c>
      <c r="L55" s="14">
        <v>0</v>
      </c>
    </row>
    <row r="56" spans="1:12">
      <c r="A56" s="13">
        <v>4120</v>
      </c>
      <c r="B56" s="13" t="s">
        <v>125</v>
      </c>
      <c r="C56" s="14">
        <v>0</v>
      </c>
      <c r="D56" s="14">
        <v>0</v>
      </c>
      <c r="E56" s="14">
        <v>0</v>
      </c>
      <c r="F56" s="14">
        <v>0</v>
      </c>
      <c r="G56" s="14">
        <v>0</v>
      </c>
      <c r="H56" s="14">
        <v>0</v>
      </c>
      <c r="I56" s="14">
        <v>0</v>
      </c>
      <c r="J56" s="14">
        <v>0</v>
      </c>
      <c r="K56" s="14">
        <v>0</v>
      </c>
      <c r="L56" s="14">
        <v>0</v>
      </c>
    </row>
    <row r="57" spans="1:12">
      <c r="A57" s="13">
        <v>4121</v>
      </c>
      <c r="B57" s="13" t="s">
        <v>126</v>
      </c>
      <c r="C57" s="14">
        <v>0</v>
      </c>
      <c r="D57" s="14">
        <v>0</v>
      </c>
      <c r="E57" s="14">
        <v>0</v>
      </c>
      <c r="F57" s="14">
        <v>0</v>
      </c>
      <c r="G57" s="14">
        <v>0</v>
      </c>
      <c r="H57" s="14">
        <v>0</v>
      </c>
      <c r="I57" s="14">
        <v>0</v>
      </c>
      <c r="J57" s="14">
        <v>0</v>
      </c>
      <c r="K57" s="14">
        <v>0</v>
      </c>
      <c r="L57" s="14">
        <v>0</v>
      </c>
    </row>
    <row r="58" spans="1:12">
      <c r="A58" s="13">
        <v>4130</v>
      </c>
      <c r="B58" s="13" t="s">
        <v>127</v>
      </c>
      <c r="C58" s="14">
        <v>0</v>
      </c>
      <c r="D58" s="14">
        <v>0</v>
      </c>
      <c r="E58" s="14">
        <v>0</v>
      </c>
      <c r="F58" s="14">
        <v>0</v>
      </c>
      <c r="G58" s="14">
        <v>0</v>
      </c>
      <c r="H58" s="14">
        <v>0</v>
      </c>
      <c r="I58" s="14">
        <v>0</v>
      </c>
      <c r="J58" s="14">
        <v>0</v>
      </c>
      <c r="K58" s="14">
        <v>0</v>
      </c>
      <c r="L58" s="14">
        <v>0</v>
      </c>
    </row>
    <row r="59" spans="1:12">
      <c r="A59" s="13">
        <v>4131</v>
      </c>
      <c r="B59" s="13" t="s">
        <v>128</v>
      </c>
      <c r="C59" s="14">
        <v>0</v>
      </c>
      <c r="D59" s="14">
        <v>0</v>
      </c>
      <c r="E59" s="14">
        <v>0</v>
      </c>
      <c r="F59" s="14">
        <v>0</v>
      </c>
      <c r="G59" s="14">
        <v>0</v>
      </c>
      <c r="H59" s="14">
        <v>0</v>
      </c>
      <c r="I59" s="14">
        <v>0</v>
      </c>
      <c r="J59" s="14">
        <v>0</v>
      </c>
      <c r="K59" s="14">
        <v>0</v>
      </c>
      <c r="L59" s="14">
        <v>0</v>
      </c>
    </row>
    <row r="60" spans="1:12">
      <c r="A60" s="13">
        <v>4140</v>
      </c>
      <c r="B60" s="13" t="s">
        <v>129</v>
      </c>
      <c r="C60" s="14">
        <v>0</v>
      </c>
      <c r="D60" s="14">
        <v>0</v>
      </c>
      <c r="E60" s="14">
        <v>0</v>
      </c>
      <c r="F60" s="14">
        <v>0</v>
      </c>
      <c r="G60" s="14">
        <v>0</v>
      </c>
      <c r="H60" s="14">
        <v>0</v>
      </c>
      <c r="I60" s="14">
        <v>0</v>
      </c>
      <c r="J60" s="14">
        <v>0</v>
      </c>
      <c r="K60" s="14">
        <v>0</v>
      </c>
      <c r="L60" s="14">
        <v>0</v>
      </c>
    </row>
    <row r="61" spans="1:12">
      <c r="A61" s="13">
        <v>4141</v>
      </c>
      <c r="B61" s="13" t="s">
        <v>130</v>
      </c>
      <c r="C61" s="14">
        <v>0</v>
      </c>
      <c r="D61" s="14">
        <v>0</v>
      </c>
      <c r="E61" s="14">
        <v>0</v>
      </c>
      <c r="F61" s="14">
        <v>0</v>
      </c>
      <c r="G61" s="14">
        <v>0</v>
      </c>
      <c r="H61" s="14">
        <v>0</v>
      </c>
      <c r="I61" s="14">
        <v>0</v>
      </c>
      <c r="J61" s="14">
        <v>0</v>
      </c>
      <c r="K61" s="14">
        <v>0</v>
      </c>
      <c r="L61" s="14">
        <v>0</v>
      </c>
    </row>
    <row r="62" spans="1:12">
      <c r="A62" s="13">
        <v>4145</v>
      </c>
      <c r="B62" s="13" t="s">
        <v>131</v>
      </c>
      <c r="C62" s="14">
        <v>0</v>
      </c>
      <c r="D62" s="14">
        <v>0</v>
      </c>
      <c r="E62" s="14">
        <v>0</v>
      </c>
      <c r="F62" s="14">
        <v>0</v>
      </c>
      <c r="G62" s="14">
        <v>0</v>
      </c>
      <c r="H62" s="14">
        <v>0</v>
      </c>
      <c r="I62" s="14">
        <v>0</v>
      </c>
      <c r="J62" s="14">
        <v>0</v>
      </c>
      <c r="K62" s="14">
        <v>0</v>
      </c>
      <c r="L62" s="14">
        <v>0</v>
      </c>
    </row>
    <row r="63" spans="1:12">
      <c r="A63" s="13">
        <v>4150</v>
      </c>
      <c r="B63" s="13" t="s">
        <v>132</v>
      </c>
      <c r="C63" s="14">
        <v>0</v>
      </c>
      <c r="D63" s="14">
        <v>0</v>
      </c>
      <c r="E63" s="14">
        <v>0</v>
      </c>
      <c r="F63" s="14">
        <v>0</v>
      </c>
      <c r="G63" s="14">
        <v>0</v>
      </c>
      <c r="H63" s="14">
        <v>0</v>
      </c>
      <c r="I63" s="14">
        <v>0</v>
      </c>
      <c r="J63" s="14">
        <v>0</v>
      </c>
      <c r="K63" s="14">
        <v>0</v>
      </c>
      <c r="L63" s="14">
        <v>0</v>
      </c>
    </row>
    <row r="64" spans="1:12">
      <c r="A64" s="13">
        <v>4151</v>
      </c>
      <c r="B64" s="13" t="s">
        <v>133</v>
      </c>
      <c r="C64" s="14">
        <v>0</v>
      </c>
      <c r="D64" s="14">
        <v>0</v>
      </c>
      <c r="E64" s="14">
        <v>0</v>
      </c>
      <c r="F64" s="14">
        <v>0</v>
      </c>
      <c r="G64" s="14">
        <v>0</v>
      </c>
      <c r="H64" s="14">
        <v>0</v>
      </c>
      <c r="I64" s="14">
        <v>0</v>
      </c>
      <c r="J64" s="14">
        <v>0</v>
      </c>
      <c r="K64" s="14">
        <v>0</v>
      </c>
      <c r="L64" s="14">
        <v>0</v>
      </c>
    </row>
    <row r="65" spans="1:12">
      <c r="A65" s="13">
        <v>4170</v>
      </c>
      <c r="B65" s="13" t="s">
        <v>134</v>
      </c>
      <c r="C65" s="14">
        <v>0</v>
      </c>
      <c r="D65" s="14">
        <v>0</v>
      </c>
      <c r="E65" s="14">
        <v>0</v>
      </c>
      <c r="F65" s="14">
        <v>0</v>
      </c>
      <c r="G65" s="14">
        <v>0</v>
      </c>
      <c r="H65" s="14">
        <v>0</v>
      </c>
      <c r="I65" s="14">
        <v>0</v>
      </c>
      <c r="J65" s="14">
        <v>0</v>
      </c>
      <c r="K65" s="14">
        <v>0</v>
      </c>
      <c r="L65" s="14">
        <v>0</v>
      </c>
    </row>
    <row r="66" spans="1:12">
      <c r="A66" s="13">
        <v>4180</v>
      </c>
      <c r="B66" s="13" t="s">
        <v>135</v>
      </c>
      <c r="C66" s="14">
        <v>0</v>
      </c>
      <c r="D66" s="14">
        <v>0</v>
      </c>
      <c r="E66" s="14">
        <v>0</v>
      </c>
      <c r="F66" s="14">
        <v>0</v>
      </c>
      <c r="G66" s="14">
        <v>0</v>
      </c>
      <c r="H66" s="14">
        <v>0</v>
      </c>
      <c r="I66" s="14">
        <v>0</v>
      </c>
      <c r="J66" s="14">
        <v>0</v>
      </c>
      <c r="K66" s="14">
        <v>0</v>
      </c>
      <c r="L66" s="14">
        <v>0</v>
      </c>
    </row>
    <row r="67" spans="1:12">
      <c r="A67" s="13">
        <v>4190</v>
      </c>
      <c r="B67" s="13" t="s">
        <v>136</v>
      </c>
      <c r="C67" s="14">
        <v>0</v>
      </c>
      <c r="D67" s="14">
        <v>0</v>
      </c>
      <c r="E67" s="14">
        <v>0</v>
      </c>
      <c r="F67" s="14">
        <v>0</v>
      </c>
      <c r="G67" s="14">
        <v>0</v>
      </c>
      <c r="H67" s="14">
        <v>0</v>
      </c>
      <c r="I67" s="14">
        <v>0</v>
      </c>
      <c r="J67" s="14">
        <v>0</v>
      </c>
      <c r="K67" s="14">
        <v>0</v>
      </c>
      <c r="L67" s="14">
        <v>0</v>
      </c>
    </row>
    <row r="68" spans="1:12">
      <c r="A68" s="13">
        <v>4200</v>
      </c>
      <c r="B68" s="13" t="s">
        <v>137</v>
      </c>
      <c r="C68" s="14">
        <v>0</v>
      </c>
      <c r="D68" s="14">
        <v>0</v>
      </c>
      <c r="E68" s="14">
        <v>0</v>
      </c>
      <c r="F68" s="14">
        <v>0</v>
      </c>
      <c r="G68" s="14">
        <v>0</v>
      </c>
      <c r="H68" s="14">
        <v>0</v>
      </c>
      <c r="I68" s="14">
        <v>0</v>
      </c>
      <c r="J68" s="14">
        <v>0</v>
      </c>
      <c r="K68" s="14">
        <v>0</v>
      </c>
      <c r="L68" s="14">
        <v>0</v>
      </c>
    </row>
    <row r="69" spans="1:12">
      <c r="A69" s="13">
        <v>5010</v>
      </c>
      <c r="B69" s="13" t="s">
        <v>138</v>
      </c>
      <c r="C69" s="14">
        <v>0</v>
      </c>
      <c r="D69" s="14">
        <v>0</v>
      </c>
      <c r="E69" s="14">
        <v>0</v>
      </c>
      <c r="F69" s="14">
        <v>0</v>
      </c>
      <c r="G69" s="14">
        <v>0</v>
      </c>
      <c r="H69" s="14">
        <v>0</v>
      </c>
      <c r="I69" s="14">
        <v>0</v>
      </c>
      <c r="J69" s="14">
        <v>0</v>
      </c>
      <c r="K69" s="14">
        <v>0</v>
      </c>
      <c r="L69" s="14">
        <v>0</v>
      </c>
    </row>
    <row r="70" spans="1:12">
      <c r="A70" s="13">
        <v>5011</v>
      </c>
      <c r="B70" s="13" t="s">
        <v>140</v>
      </c>
      <c r="C70" s="14">
        <v>0</v>
      </c>
      <c r="D70" s="14">
        <v>0</v>
      </c>
      <c r="E70" s="14">
        <v>0</v>
      </c>
      <c r="F70" s="14">
        <v>0</v>
      </c>
      <c r="G70" s="14">
        <v>0</v>
      </c>
      <c r="H70" s="14">
        <v>0</v>
      </c>
      <c r="I70" s="14">
        <v>0</v>
      </c>
      <c r="J70" s="14">
        <v>0</v>
      </c>
      <c r="K70" s="14">
        <v>0</v>
      </c>
      <c r="L70" s="14">
        <v>0</v>
      </c>
    </row>
    <row r="71" spans="1:12">
      <c r="A71" s="13">
        <v>5020</v>
      </c>
      <c r="B71" s="13" t="s">
        <v>141</v>
      </c>
      <c r="C71" s="14">
        <v>0</v>
      </c>
      <c r="D71" s="14">
        <v>0</v>
      </c>
      <c r="E71" s="14">
        <v>0</v>
      </c>
      <c r="F71" s="14">
        <v>0</v>
      </c>
      <c r="G71" s="14">
        <v>0</v>
      </c>
      <c r="H71" s="14">
        <v>0</v>
      </c>
      <c r="I71" s="14">
        <v>0</v>
      </c>
      <c r="J71" s="14">
        <v>0</v>
      </c>
      <c r="K71" s="14">
        <v>0</v>
      </c>
      <c r="L71" s="14">
        <v>0</v>
      </c>
    </row>
    <row r="72" spans="1:12">
      <c r="A72" s="13">
        <v>5030</v>
      </c>
      <c r="B72" s="13" t="s">
        <v>142</v>
      </c>
      <c r="C72" s="14">
        <v>0</v>
      </c>
      <c r="D72" s="14">
        <v>0</v>
      </c>
      <c r="E72" s="14">
        <v>0</v>
      </c>
      <c r="F72" s="14">
        <v>0</v>
      </c>
      <c r="G72" s="14">
        <v>0</v>
      </c>
      <c r="H72" s="14">
        <v>0</v>
      </c>
      <c r="I72" s="14">
        <v>0</v>
      </c>
      <c r="J72" s="14">
        <v>0</v>
      </c>
      <c r="K72" s="14">
        <v>0</v>
      </c>
      <c r="L72" s="14">
        <v>0</v>
      </c>
    </row>
    <row r="73" spans="1:12">
      <c r="A73" s="13">
        <v>5031</v>
      </c>
      <c r="B73" s="13" t="s">
        <v>143</v>
      </c>
      <c r="C73" s="14">
        <v>0</v>
      </c>
      <c r="D73" s="14">
        <v>0</v>
      </c>
      <c r="E73" s="14">
        <v>0</v>
      </c>
      <c r="F73" s="14">
        <v>0</v>
      </c>
      <c r="G73" s="14">
        <v>0</v>
      </c>
      <c r="H73" s="14">
        <v>0</v>
      </c>
      <c r="I73" s="14">
        <v>0</v>
      </c>
      <c r="J73" s="14">
        <v>0</v>
      </c>
      <c r="K73" s="14">
        <v>0</v>
      </c>
      <c r="L73" s="14">
        <v>0</v>
      </c>
    </row>
    <row r="74" spans="1:12">
      <c r="A74" s="13">
        <v>5035</v>
      </c>
      <c r="B74" s="13" t="s">
        <v>144</v>
      </c>
      <c r="C74" s="14">
        <v>0</v>
      </c>
      <c r="D74" s="14">
        <v>0</v>
      </c>
      <c r="E74" s="14">
        <v>0</v>
      </c>
      <c r="F74" s="14">
        <v>0</v>
      </c>
      <c r="G74" s="14">
        <v>0</v>
      </c>
      <c r="H74" s="14">
        <v>0</v>
      </c>
      <c r="I74" s="14">
        <v>0</v>
      </c>
      <c r="J74" s="14">
        <v>0</v>
      </c>
      <c r="K74" s="14">
        <v>0</v>
      </c>
      <c r="L74" s="14">
        <v>0</v>
      </c>
    </row>
    <row r="75" spans="1:12">
      <c r="A75" s="13">
        <v>5036</v>
      </c>
      <c r="B75" s="13" t="s">
        <v>145</v>
      </c>
      <c r="C75" s="14">
        <v>0</v>
      </c>
      <c r="D75" s="14">
        <v>0</v>
      </c>
      <c r="E75" s="14">
        <v>0</v>
      </c>
      <c r="F75" s="14">
        <v>0</v>
      </c>
      <c r="G75" s="14">
        <v>0</v>
      </c>
      <c r="H75" s="14">
        <v>0</v>
      </c>
      <c r="I75" s="14">
        <v>0</v>
      </c>
      <c r="J75" s="14">
        <v>0</v>
      </c>
      <c r="K75" s="14">
        <v>0</v>
      </c>
      <c r="L75" s="14">
        <v>0</v>
      </c>
    </row>
    <row r="76" spans="1:12">
      <c r="A76" s="13">
        <v>5045</v>
      </c>
      <c r="B76" s="13" t="s">
        <v>146</v>
      </c>
      <c r="C76" s="14">
        <v>0</v>
      </c>
      <c r="D76" s="14">
        <v>0</v>
      </c>
      <c r="E76" s="14">
        <v>0</v>
      </c>
      <c r="F76" s="14">
        <v>0</v>
      </c>
      <c r="G76" s="14">
        <v>0</v>
      </c>
      <c r="H76" s="14">
        <v>0</v>
      </c>
      <c r="I76" s="14">
        <v>0</v>
      </c>
      <c r="J76" s="14">
        <v>0</v>
      </c>
      <c r="K76" s="14">
        <v>0</v>
      </c>
      <c r="L76" s="14">
        <v>0</v>
      </c>
    </row>
    <row r="77" spans="1:12">
      <c r="A77" s="13">
        <v>5046</v>
      </c>
      <c r="B77" s="13" t="s">
        <v>147</v>
      </c>
      <c r="C77" s="14">
        <v>0</v>
      </c>
      <c r="D77" s="14">
        <v>0</v>
      </c>
      <c r="E77" s="14">
        <v>0</v>
      </c>
      <c r="F77" s="14">
        <v>0</v>
      </c>
      <c r="G77" s="14">
        <v>0</v>
      </c>
      <c r="H77" s="14">
        <v>0</v>
      </c>
      <c r="I77" s="14">
        <v>0</v>
      </c>
      <c r="J77" s="14">
        <v>0</v>
      </c>
      <c r="K77" s="14">
        <v>0</v>
      </c>
      <c r="L77" s="14">
        <v>0</v>
      </c>
    </row>
    <row r="78" spans="1:12">
      <c r="A78" s="13">
        <v>5049</v>
      </c>
      <c r="B78" s="13" t="s">
        <v>148</v>
      </c>
      <c r="C78" s="14">
        <v>0</v>
      </c>
      <c r="D78" s="14">
        <v>0</v>
      </c>
      <c r="E78" s="14">
        <v>0</v>
      </c>
      <c r="F78" s="14">
        <v>0</v>
      </c>
      <c r="G78" s="14">
        <v>0</v>
      </c>
      <c r="H78" s="14">
        <v>0</v>
      </c>
      <c r="I78" s="14">
        <v>0</v>
      </c>
      <c r="J78" s="14">
        <v>0</v>
      </c>
      <c r="K78" s="14">
        <v>0</v>
      </c>
      <c r="L78" s="14">
        <v>0</v>
      </c>
    </row>
    <row r="79" spans="1:12">
      <c r="A79" s="13">
        <v>5050</v>
      </c>
      <c r="B79" s="13" t="s">
        <v>149</v>
      </c>
      <c r="C79" s="14">
        <v>0</v>
      </c>
      <c r="D79" s="14">
        <v>0</v>
      </c>
      <c r="E79" s="14">
        <v>0</v>
      </c>
      <c r="F79" s="14">
        <v>0</v>
      </c>
      <c r="G79" s="14">
        <v>0</v>
      </c>
      <c r="H79" s="14">
        <v>0</v>
      </c>
      <c r="I79" s="14">
        <v>0</v>
      </c>
      <c r="J79" s="14">
        <v>0</v>
      </c>
      <c r="K79" s="14">
        <v>0</v>
      </c>
      <c r="L79" s="14">
        <v>0</v>
      </c>
    </row>
    <row r="80" spans="1:12">
      <c r="A80" s="13">
        <v>5051</v>
      </c>
      <c r="B80" s="13" t="s">
        <v>150</v>
      </c>
      <c r="C80" s="14">
        <v>0</v>
      </c>
      <c r="D80" s="14">
        <v>0</v>
      </c>
      <c r="E80" s="14">
        <v>0</v>
      </c>
      <c r="F80" s="14">
        <v>0</v>
      </c>
      <c r="G80" s="14">
        <v>0</v>
      </c>
      <c r="H80" s="14">
        <v>0</v>
      </c>
      <c r="I80" s="14">
        <v>0</v>
      </c>
      <c r="J80" s="14">
        <v>0</v>
      </c>
      <c r="K80" s="14">
        <v>0</v>
      </c>
      <c r="L80" s="14">
        <v>0</v>
      </c>
    </row>
    <row r="81" spans="1:12">
      <c r="A81" s="13">
        <v>5055</v>
      </c>
      <c r="B81" s="13" t="s">
        <v>151</v>
      </c>
      <c r="C81" s="14">
        <v>0</v>
      </c>
      <c r="D81" s="14">
        <v>0</v>
      </c>
      <c r="E81" s="14">
        <v>0</v>
      </c>
      <c r="F81" s="14">
        <v>0</v>
      </c>
      <c r="G81" s="14">
        <v>0</v>
      </c>
      <c r="H81" s="14">
        <v>0</v>
      </c>
      <c r="I81" s="14">
        <v>0</v>
      </c>
      <c r="J81" s="14">
        <v>0</v>
      </c>
      <c r="K81" s="14">
        <v>0</v>
      </c>
      <c r="L81" s="14">
        <v>0</v>
      </c>
    </row>
    <row r="82" spans="1:12">
      <c r="A82" s="13">
        <v>5060</v>
      </c>
      <c r="B82" s="13" t="s">
        <v>152</v>
      </c>
      <c r="C82" s="14">
        <v>0</v>
      </c>
      <c r="D82" s="14">
        <v>0</v>
      </c>
      <c r="E82" s="14">
        <v>0</v>
      </c>
      <c r="F82" s="14">
        <v>0</v>
      </c>
      <c r="G82" s="14">
        <v>0</v>
      </c>
      <c r="H82" s="14">
        <v>0</v>
      </c>
      <c r="I82" s="14">
        <v>0</v>
      </c>
      <c r="J82" s="14">
        <v>0</v>
      </c>
      <c r="K82" s="14">
        <v>0</v>
      </c>
      <c r="L82" s="14">
        <v>0</v>
      </c>
    </row>
    <row r="83" spans="1:12">
      <c r="A83" s="13">
        <v>5065</v>
      </c>
      <c r="B83" s="13" t="s">
        <v>153</v>
      </c>
      <c r="C83" s="14">
        <v>0</v>
      </c>
      <c r="D83" s="14">
        <v>0</v>
      </c>
      <c r="E83" s="14">
        <v>0</v>
      </c>
      <c r="F83" s="14">
        <v>0</v>
      </c>
      <c r="G83" s="14">
        <v>0</v>
      </c>
      <c r="H83" s="14">
        <v>0</v>
      </c>
      <c r="I83" s="14">
        <v>0</v>
      </c>
      <c r="J83" s="14">
        <v>0</v>
      </c>
      <c r="K83" s="14">
        <v>0</v>
      </c>
      <c r="L83" s="14">
        <v>0</v>
      </c>
    </row>
    <row r="84" spans="1:12">
      <c r="A84" s="13">
        <v>5070</v>
      </c>
      <c r="B84" s="13" t="s">
        <v>154</v>
      </c>
      <c r="C84" s="14">
        <v>0</v>
      </c>
      <c r="D84" s="14">
        <v>0</v>
      </c>
      <c r="E84" s="14">
        <v>0</v>
      </c>
      <c r="F84" s="14">
        <v>0</v>
      </c>
      <c r="G84" s="14">
        <v>0</v>
      </c>
      <c r="H84" s="14">
        <v>0</v>
      </c>
      <c r="I84" s="14">
        <v>0</v>
      </c>
      <c r="J84" s="14">
        <v>0</v>
      </c>
      <c r="K84" s="14">
        <v>0</v>
      </c>
      <c r="L84" s="14">
        <v>0</v>
      </c>
    </row>
    <row r="85" spans="1:12">
      <c r="A85" s="13">
        <v>5075</v>
      </c>
      <c r="B85" s="13" t="s">
        <v>155</v>
      </c>
      <c r="C85" s="14">
        <v>0</v>
      </c>
      <c r="D85" s="14">
        <v>0</v>
      </c>
      <c r="E85" s="14">
        <v>0</v>
      </c>
      <c r="F85" s="14">
        <v>0</v>
      </c>
      <c r="G85" s="14">
        <v>0</v>
      </c>
      <c r="H85" s="14">
        <v>0</v>
      </c>
      <c r="I85" s="14">
        <v>0</v>
      </c>
      <c r="J85" s="14">
        <v>0</v>
      </c>
      <c r="K85" s="14">
        <v>0</v>
      </c>
      <c r="L85" s="14">
        <v>0</v>
      </c>
    </row>
    <row r="86" spans="1:12">
      <c r="A86" s="13">
        <v>5080</v>
      </c>
      <c r="B86" s="13" t="s">
        <v>156</v>
      </c>
      <c r="C86" s="14">
        <v>0</v>
      </c>
      <c r="D86" s="14">
        <v>0</v>
      </c>
      <c r="E86" s="14">
        <v>0</v>
      </c>
      <c r="F86" s="14">
        <v>0</v>
      </c>
      <c r="G86" s="14">
        <v>0</v>
      </c>
      <c r="H86" s="14">
        <v>0</v>
      </c>
      <c r="I86" s="14">
        <v>0</v>
      </c>
      <c r="J86" s="14">
        <v>0</v>
      </c>
      <c r="K86" s="14">
        <v>0</v>
      </c>
      <c r="L86" s="14">
        <v>0</v>
      </c>
    </row>
    <row r="87" spans="1:12">
      <c r="A87" s="13">
        <v>5090</v>
      </c>
      <c r="B87" s="13" t="s">
        <v>157</v>
      </c>
      <c r="C87" s="14">
        <v>0</v>
      </c>
      <c r="D87" s="14">
        <v>0</v>
      </c>
      <c r="E87" s="14">
        <v>0</v>
      </c>
      <c r="F87" s="14">
        <v>0</v>
      </c>
      <c r="G87" s="14">
        <v>0</v>
      </c>
      <c r="H87" s="14">
        <v>0</v>
      </c>
      <c r="I87" s="14">
        <v>0</v>
      </c>
      <c r="J87" s="14">
        <v>0</v>
      </c>
      <c r="K87" s="14">
        <v>0</v>
      </c>
      <c r="L87" s="14">
        <v>0</v>
      </c>
    </row>
    <row r="88" spans="1:12">
      <c r="A88" s="13">
        <v>5095</v>
      </c>
      <c r="B88" s="13" t="s">
        <v>158</v>
      </c>
      <c r="C88" s="14">
        <v>0</v>
      </c>
      <c r="D88" s="14">
        <v>0</v>
      </c>
      <c r="E88" s="14">
        <v>0</v>
      </c>
      <c r="F88" s="14">
        <v>0</v>
      </c>
      <c r="G88" s="14">
        <v>0</v>
      </c>
      <c r="H88" s="14">
        <v>0</v>
      </c>
      <c r="I88" s="14">
        <v>0</v>
      </c>
      <c r="J88" s="14">
        <v>0</v>
      </c>
      <c r="K88" s="14">
        <v>0</v>
      </c>
      <c r="L88" s="14">
        <v>0</v>
      </c>
    </row>
    <row r="89" spans="1:12">
      <c r="A89" s="13">
        <v>5100</v>
      </c>
      <c r="B89" s="13" t="s">
        <v>159</v>
      </c>
      <c r="C89" s="14">
        <v>0</v>
      </c>
      <c r="D89" s="14">
        <v>0</v>
      </c>
      <c r="E89" s="14">
        <v>0</v>
      </c>
      <c r="F89" s="14">
        <v>0</v>
      </c>
      <c r="G89" s="14">
        <v>0</v>
      </c>
      <c r="H89" s="14">
        <v>0</v>
      </c>
      <c r="I89" s="14">
        <v>0</v>
      </c>
      <c r="J89" s="14">
        <v>0</v>
      </c>
      <c r="K89" s="14">
        <v>0</v>
      </c>
      <c r="L89" s="14">
        <v>0</v>
      </c>
    </row>
    <row r="90" spans="1:12">
      <c r="A90" s="13">
        <v>5101</v>
      </c>
      <c r="B90" s="13" t="s">
        <v>160</v>
      </c>
      <c r="C90" s="14">
        <v>0</v>
      </c>
      <c r="D90" s="14">
        <v>0</v>
      </c>
      <c r="E90" s="14">
        <v>0</v>
      </c>
      <c r="F90" s="14">
        <v>0</v>
      </c>
      <c r="G90" s="14">
        <v>0</v>
      </c>
      <c r="H90" s="14">
        <v>0</v>
      </c>
      <c r="I90" s="14">
        <v>0</v>
      </c>
      <c r="J90" s="14">
        <v>0</v>
      </c>
      <c r="K90" s="14">
        <v>0</v>
      </c>
      <c r="L90" s="14">
        <v>0</v>
      </c>
    </row>
    <row r="91" spans="1:12">
      <c r="A91" s="13">
        <v>5111</v>
      </c>
      <c r="B91" s="13" t="s">
        <v>161</v>
      </c>
      <c r="C91" s="14">
        <v>0</v>
      </c>
      <c r="D91" s="14">
        <v>0</v>
      </c>
      <c r="E91" s="14">
        <v>0</v>
      </c>
      <c r="F91" s="14">
        <v>0</v>
      </c>
      <c r="G91" s="14">
        <v>0</v>
      </c>
      <c r="H91" s="14">
        <v>0</v>
      </c>
      <c r="I91" s="14">
        <v>0</v>
      </c>
      <c r="J91" s="14">
        <v>0</v>
      </c>
      <c r="K91" s="14">
        <v>0</v>
      </c>
      <c r="L91" s="14">
        <v>0</v>
      </c>
    </row>
    <row r="92" spans="1:12">
      <c r="A92" s="13">
        <v>5130</v>
      </c>
      <c r="B92" s="13" t="s">
        <v>162</v>
      </c>
      <c r="C92" s="14">
        <v>0</v>
      </c>
      <c r="D92" s="14">
        <v>0</v>
      </c>
      <c r="E92" s="14">
        <v>0</v>
      </c>
      <c r="F92" s="14">
        <v>0</v>
      </c>
      <c r="G92" s="14">
        <v>0</v>
      </c>
      <c r="H92" s="14">
        <v>0</v>
      </c>
      <c r="I92" s="14">
        <v>0</v>
      </c>
      <c r="J92" s="14">
        <v>0</v>
      </c>
      <c r="K92" s="14">
        <v>0</v>
      </c>
      <c r="L92" s="14">
        <v>0</v>
      </c>
    </row>
    <row r="93" spans="1:12">
      <c r="A93" s="13">
        <v>5140</v>
      </c>
      <c r="B93" s="13" t="s">
        <v>163</v>
      </c>
      <c r="C93" s="14">
        <v>0</v>
      </c>
      <c r="D93" s="14">
        <v>0</v>
      </c>
      <c r="E93" s="14">
        <v>0</v>
      </c>
      <c r="F93" s="14">
        <v>0</v>
      </c>
      <c r="G93" s="14">
        <v>0</v>
      </c>
      <c r="H93" s="14">
        <v>0</v>
      </c>
      <c r="I93" s="14">
        <v>0</v>
      </c>
      <c r="J93" s="14">
        <v>0</v>
      </c>
      <c r="K93" s="14">
        <v>0</v>
      </c>
      <c r="L93" s="14">
        <v>0</v>
      </c>
    </row>
    <row r="94" spans="1:12">
      <c r="A94" s="13">
        <v>5150</v>
      </c>
      <c r="B94" s="13" t="s">
        <v>164</v>
      </c>
      <c r="C94" s="14">
        <v>0</v>
      </c>
      <c r="D94" s="14">
        <v>0</v>
      </c>
      <c r="E94" s="14">
        <v>0</v>
      </c>
      <c r="F94" s="14">
        <v>0</v>
      </c>
      <c r="G94" s="14">
        <v>0</v>
      </c>
      <c r="H94" s="14">
        <v>0</v>
      </c>
      <c r="I94" s="14">
        <v>0</v>
      </c>
      <c r="J94" s="14">
        <v>0</v>
      </c>
      <c r="K94" s="14">
        <v>0</v>
      </c>
      <c r="L94" s="14">
        <v>0</v>
      </c>
    </row>
    <row r="95" spans="1:12">
      <c r="A95" s="13">
        <v>5160</v>
      </c>
      <c r="B95" s="13" t="s">
        <v>165</v>
      </c>
      <c r="C95" s="14">
        <v>0</v>
      </c>
      <c r="D95" s="14">
        <v>0</v>
      </c>
      <c r="E95" s="14">
        <v>0</v>
      </c>
      <c r="F95" s="14">
        <v>0</v>
      </c>
      <c r="G95" s="14">
        <v>0</v>
      </c>
      <c r="H95" s="14">
        <v>0</v>
      </c>
      <c r="I95" s="14">
        <v>0</v>
      </c>
      <c r="J95" s="14">
        <v>0</v>
      </c>
      <c r="K95" s="14">
        <v>0</v>
      </c>
      <c r="L95" s="14">
        <v>0</v>
      </c>
    </row>
    <row r="96" spans="1:12">
      <c r="A96" s="13">
        <v>5170</v>
      </c>
      <c r="B96" s="13" t="s">
        <v>166</v>
      </c>
      <c r="C96" s="14">
        <v>0</v>
      </c>
      <c r="D96" s="14">
        <v>0</v>
      </c>
      <c r="E96" s="14">
        <v>0</v>
      </c>
      <c r="F96" s="14">
        <v>0</v>
      </c>
      <c r="G96" s="14">
        <v>0</v>
      </c>
      <c r="H96" s="14">
        <v>0</v>
      </c>
      <c r="I96" s="14">
        <v>0</v>
      </c>
      <c r="J96" s="14">
        <v>0</v>
      </c>
      <c r="K96" s="14">
        <v>0</v>
      </c>
      <c r="L96" s="14">
        <v>0</v>
      </c>
    </row>
    <row r="97" spans="1:12">
      <c r="A97" s="13">
        <v>5180</v>
      </c>
      <c r="B97" s="13" t="s">
        <v>167</v>
      </c>
      <c r="C97" s="14">
        <v>0</v>
      </c>
      <c r="D97" s="14">
        <v>0</v>
      </c>
      <c r="E97" s="14">
        <v>0</v>
      </c>
      <c r="F97" s="14">
        <v>0</v>
      </c>
      <c r="G97" s="14">
        <v>0</v>
      </c>
      <c r="H97" s="14">
        <v>0</v>
      </c>
      <c r="I97" s="14">
        <v>0</v>
      </c>
      <c r="J97" s="14">
        <v>0</v>
      </c>
      <c r="K97" s="14">
        <v>0</v>
      </c>
      <c r="L97" s="14">
        <v>0</v>
      </c>
    </row>
    <row r="98" spans="1:12">
      <c r="A98" s="13">
        <v>5190</v>
      </c>
      <c r="B98" s="13" t="s">
        <v>168</v>
      </c>
      <c r="C98" s="14">
        <v>0</v>
      </c>
      <c r="D98" s="14">
        <v>0</v>
      </c>
      <c r="E98" s="14">
        <v>0</v>
      </c>
      <c r="F98" s="14">
        <v>0</v>
      </c>
      <c r="G98" s="14">
        <v>0</v>
      </c>
      <c r="H98" s="14">
        <v>0</v>
      </c>
      <c r="I98" s="14">
        <v>0</v>
      </c>
      <c r="J98" s="14">
        <v>0</v>
      </c>
      <c r="K98" s="14">
        <v>0</v>
      </c>
      <c r="L98" s="14">
        <v>0</v>
      </c>
    </row>
    <row r="99" spans="1:12">
      <c r="A99" s="13">
        <v>5200</v>
      </c>
      <c r="B99" s="13" t="s">
        <v>169</v>
      </c>
      <c r="C99" s="14">
        <v>0</v>
      </c>
      <c r="D99" s="14">
        <v>0</v>
      </c>
      <c r="E99" s="14">
        <v>0</v>
      </c>
      <c r="F99" s="14">
        <v>0</v>
      </c>
      <c r="G99" s="14">
        <v>0</v>
      </c>
      <c r="H99" s="14">
        <v>0</v>
      </c>
      <c r="I99" s="14">
        <v>0</v>
      </c>
      <c r="J99" s="14">
        <v>0</v>
      </c>
      <c r="K99" s="14">
        <v>0</v>
      </c>
      <c r="L99" s="14">
        <v>0</v>
      </c>
    </row>
    <row r="100" spans="1:12">
      <c r="A100" s="13">
        <v>5220</v>
      </c>
      <c r="B100" s="13" t="s">
        <v>170</v>
      </c>
      <c r="C100" s="14">
        <v>0</v>
      </c>
      <c r="D100" s="14">
        <v>0</v>
      </c>
      <c r="E100" s="14">
        <v>0</v>
      </c>
      <c r="F100" s="14">
        <v>0</v>
      </c>
      <c r="G100" s="14">
        <v>0</v>
      </c>
      <c r="H100" s="14">
        <v>0</v>
      </c>
      <c r="I100" s="14">
        <v>0</v>
      </c>
      <c r="J100" s="14">
        <v>0</v>
      </c>
      <c r="K100" s="14">
        <v>0</v>
      </c>
      <c r="L100" s="14">
        <v>0</v>
      </c>
    </row>
    <row r="101" spans="1:12">
      <c r="A101" s="13">
        <v>5230</v>
      </c>
      <c r="B101" s="13" t="s">
        <v>171</v>
      </c>
      <c r="C101" s="14">
        <v>0</v>
      </c>
      <c r="D101" s="14">
        <v>0</v>
      </c>
      <c r="E101" s="14">
        <v>0</v>
      </c>
      <c r="F101" s="14">
        <v>0</v>
      </c>
      <c r="G101" s="14">
        <v>0</v>
      </c>
      <c r="H101" s="14">
        <v>0</v>
      </c>
      <c r="I101" s="14">
        <v>0</v>
      </c>
      <c r="J101" s="14">
        <v>0</v>
      </c>
      <c r="K101" s="14">
        <v>0</v>
      </c>
      <c r="L101" s="14">
        <v>0</v>
      </c>
    </row>
    <row r="102" spans="1:12">
      <c r="A102" s="13">
        <v>5240</v>
      </c>
      <c r="B102" s="13" t="s">
        <v>172</v>
      </c>
      <c r="C102" s="14">
        <v>0</v>
      </c>
      <c r="D102" s="14">
        <v>0</v>
      </c>
      <c r="E102" s="14">
        <v>0</v>
      </c>
      <c r="F102" s="14">
        <v>0</v>
      </c>
      <c r="G102" s="14">
        <v>0</v>
      </c>
      <c r="H102" s="14">
        <v>0</v>
      </c>
      <c r="I102" s="14">
        <v>0</v>
      </c>
      <c r="J102" s="14">
        <v>0</v>
      </c>
      <c r="K102" s="14">
        <v>0</v>
      </c>
      <c r="L102" s="14">
        <v>0</v>
      </c>
    </row>
    <row r="103" spans="1:12">
      <c r="A103" s="13">
        <v>5270</v>
      </c>
      <c r="B103" s="13" t="s">
        <v>173</v>
      </c>
      <c r="C103" s="14">
        <v>0</v>
      </c>
      <c r="D103" s="14">
        <v>0</v>
      </c>
      <c r="E103" s="14">
        <v>0</v>
      </c>
      <c r="F103" s="14">
        <v>0</v>
      </c>
      <c r="G103" s="14">
        <v>0</v>
      </c>
      <c r="H103" s="14">
        <v>0</v>
      </c>
      <c r="I103" s="14">
        <v>0</v>
      </c>
      <c r="J103" s="14">
        <v>0</v>
      </c>
      <c r="K103" s="14">
        <v>0</v>
      </c>
      <c r="L103" s="14">
        <v>0</v>
      </c>
    </row>
    <row r="104" spans="1:12">
      <c r="A104" s="13">
        <v>6040</v>
      </c>
      <c r="B104" s="13" t="s">
        <v>174</v>
      </c>
      <c r="C104" s="14">
        <v>0</v>
      </c>
      <c r="D104" s="14">
        <v>0</v>
      </c>
      <c r="E104" s="14">
        <v>0</v>
      </c>
      <c r="F104" s="14">
        <v>0</v>
      </c>
      <c r="G104" s="14">
        <v>0</v>
      </c>
      <c r="H104" s="14">
        <v>0</v>
      </c>
      <c r="I104" s="14">
        <v>0</v>
      </c>
      <c r="J104" s="14">
        <v>0</v>
      </c>
      <c r="K104" s="14">
        <v>0</v>
      </c>
      <c r="L104" s="14">
        <v>0</v>
      </c>
    </row>
    <row r="105" spans="1:12">
      <c r="A105" s="13">
        <v>6050</v>
      </c>
      <c r="B105" s="13" t="s">
        <v>176</v>
      </c>
      <c r="C105" s="14">
        <v>0</v>
      </c>
      <c r="D105" s="14">
        <v>0</v>
      </c>
      <c r="E105" s="14">
        <v>0</v>
      </c>
      <c r="F105" s="14">
        <v>0</v>
      </c>
      <c r="G105" s="14">
        <v>0</v>
      </c>
      <c r="H105" s="14">
        <v>0</v>
      </c>
      <c r="I105" s="14">
        <v>0</v>
      </c>
      <c r="J105" s="14">
        <v>0</v>
      </c>
      <c r="K105" s="14">
        <v>0</v>
      </c>
      <c r="L105" s="14">
        <v>0</v>
      </c>
    </row>
    <row r="106" spans="1:12">
      <c r="A106" s="13">
        <v>6060</v>
      </c>
      <c r="B106" s="13" t="s">
        <v>177</v>
      </c>
      <c r="C106" s="14">
        <v>0</v>
      </c>
      <c r="D106" s="14">
        <v>0</v>
      </c>
      <c r="E106" s="14">
        <v>0</v>
      </c>
      <c r="F106" s="14">
        <v>0</v>
      </c>
      <c r="G106" s="14">
        <v>0</v>
      </c>
      <c r="H106" s="14">
        <v>0</v>
      </c>
      <c r="I106" s="14">
        <v>0</v>
      </c>
      <c r="J106" s="14">
        <v>0</v>
      </c>
      <c r="K106" s="14">
        <v>0</v>
      </c>
      <c r="L106" s="14">
        <v>0</v>
      </c>
    </row>
    <row r="107" spans="1:12">
      <c r="A107" s="13">
        <v>6070</v>
      </c>
      <c r="B107" s="13" t="s">
        <v>178</v>
      </c>
      <c r="C107" s="14">
        <v>0</v>
      </c>
      <c r="D107" s="14">
        <v>0</v>
      </c>
      <c r="E107" s="14">
        <v>0</v>
      </c>
      <c r="F107" s="14">
        <v>0</v>
      </c>
      <c r="G107" s="14">
        <v>0</v>
      </c>
      <c r="H107" s="14">
        <v>0</v>
      </c>
      <c r="I107" s="14">
        <v>0</v>
      </c>
      <c r="J107" s="14">
        <v>0</v>
      </c>
      <c r="K107" s="14">
        <v>0</v>
      </c>
      <c r="L107" s="14">
        <v>0</v>
      </c>
    </row>
    <row r="108" spans="1:12">
      <c r="A108" s="13">
        <v>6080</v>
      </c>
      <c r="B108" s="13" t="s">
        <v>179</v>
      </c>
      <c r="C108" s="14">
        <v>0</v>
      </c>
      <c r="D108" s="14">
        <v>0</v>
      </c>
      <c r="E108" s="14">
        <v>0</v>
      </c>
      <c r="F108" s="14">
        <v>0</v>
      </c>
      <c r="G108" s="14">
        <v>0</v>
      </c>
      <c r="H108" s="14">
        <v>0</v>
      </c>
      <c r="I108" s="14">
        <v>0</v>
      </c>
      <c r="J108" s="14">
        <v>0</v>
      </c>
      <c r="K108" s="14">
        <v>0</v>
      </c>
      <c r="L108" s="14">
        <v>0</v>
      </c>
    </row>
    <row r="109" spans="1:12">
      <c r="A109" s="13">
        <v>6090</v>
      </c>
      <c r="B109" s="13" t="s">
        <v>180</v>
      </c>
      <c r="C109" s="14">
        <v>0</v>
      </c>
      <c r="D109" s="14">
        <v>0</v>
      </c>
      <c r="E109" s="14">
        <v>0</v>
      </c>
      <c r="F109" s="14">
        <v>0</v>
      </c>
      <c r="G109" s="14">
        <v>0</v>
      </c>
      <c r="H109" s="14">
        <v>0</v>
      </c>
      <c r="I109" s="14">
        <v>0</v>
      </c>
      <c r="J109" s="14">
        <v>0</v>
      </c>
      <c r="K109" s="14">
        <v>0</v>
      </c>
      <c r="L109" s="14">
        <v>0</v>
      </c>
    </row>
    <row r="110" spans="1:12">
      <c r="A110" s="13">
        <v>6100</v>
      </c>
      <c r="B110" s="13" t="s">
        <v>181</v>
      </c>
      <c r="C110" s="14">
        <v>0</v>
      </c>
      <c r="D110" s="14">
        <v>0</v>
      </c>
      <c r="E110" s="14">
        <v>0</v>
      </c>
      <c r="F110" s="14">
        <v>0</v>
      </c>
      <c r="G110" s="14">
        <v>0</v>
      </c>
      <c r="H110" s="14">
        <v>0</v>
      </c>
      <c r="I110" s="14">
        <v>0</v>
      </c>
      <c r="J110" s="14">
        <v>0</v>
      </c>
      <c r="K110" s="14">
        <v>0</v>
      </c>
      <c r="L110" s="14">
        <v>0</v>
      </c>
    </row>
    <row r="111" spans="1:12">
      <c r="A111" s="13">
        <v>6110</v>
      </c>
      <c r="B111" s="13" t="s">
        <v>182</v>
      </c>
      <c r="C111" s="14">
        <v>0</v>
      </c>
      <c r="D111" s="14">
        <v>0</v>
      </c>
      <c r="E111" s="14">
        <v>0</v>
      </c>
      <c r="F111" s="14">
        <v>0</v>
      </c>
      <c r="G111" s="14">
        <v>0</v>
      </c>
      <c r="H111" s="14">
        <v>0</v>
      </c>
      <c r="I111" s="14">
        <v>0</v>
      </c>
      <c r="J111" s="14">
        <v>0</v>
      </c>
      <c r="K111" s="14">
        <v>0</v>
      </c>
      <c r="L111" s="14">
        <v>0</v>
      </c>
    </row>
    <row r="112" spans="1:12">
      <c r="A112" s="13">
        <v>7025</v>
      </c>
      <c r="B112" s="13" t="s">
        <v>183</v>
      </c>
      <c r="C112" s="14">
        <v>0</v>
      </c>
      <c r="D112" s="14">
        <v>0</v>
      </c>
      <c r="E112" s="14">
        <v>0</v>
      </c>
      <c r="F112" s="14">
        <v>0</v>
      </c>
      <c r="G112" s="14">
        <v>0</v>
      </c>
      <c r="H112" s="14">
        <v>0</v>
      </c>
      <c r="I112" s="14">
        <v>0</v>
      </c>
      <c r="J112" s="14">
        <v>0</v>
      </c>
      <c r="K112" s="14">
        <v>0</v>
      </c>
      <c r="L112" s="14">
        <v>0</v>
      </c>
    </row>
    <row r="113" spans="1:12">
      <c r="A113" s="13">
        <v>7050</v>
      </c>
      <c r="B113" s="13" t="s">
        <v>185</v>
      </c>
      <c r="C113" s="14">
        <v>0</v>
      </c>
      <c r="D113" s="14">
        <v>0</v>
      </c>
      <c r="E113" s="14">
        <v>0</v>
      </c>
      <c r="F113" s="14">
        <v>0</v>
      </c>
      <c r="G113" s="14">
        <v>0</v>
      </c>
      <c r="H113" s="14">
        <v>0</v>
      </c>
      <c r="I113" s="14">
        <v>0</v>
      </c>
      <c r="J113" s="14">
        <v>0</v>
      </c>
      <c r="K113" s="14">
        <v>0</v>
      </c>
      <c r="L113" s="14">
        <v>0</v>
      </c>
    </row>
    <row r="114" spans="1:12">
      <c r="A114" s="13">
        <v>7055</v>
      </c>
      <c r="B114" s="13" t="s">
        <v>186</v>
      </c>
      <c r="C114" s="14">
        <v>0</v>
      </c>
      <c r="D114" s="14">
        <v>0</v>
      </c>
      <c r="E114" s="14">
        <v>0</v>
      </c>
      <c r="F114" s="14">
        <v>0</v>
      </c>
      <c r="G114" s="14">
        <v>0</v>
      </c>
      <c r="H114" s="14">
        <v>0</v>
      </c>
      <c r="I114" s="14">
        <v>0</v>
      </c>
      <c r="J114" s="14">
        <v>0</v>
      </c>
      <c r="K114" s="14">
        <v>0</v>
      </c>
      <c r="L114" s="14">
        <v>0</v>
      </c>
    </row>
    <row r="115" spans="1:12">
      <c r="A115" s="13">
        <v>7060</v>
      </c>
      <c r="B115" s="13" t="s">
        <v>187</v>
      </c>
      <c r="C115" s="14">
        <v>0</v>
      </c>
      <c r="D115" s="14">
        <v>0</v>
      </c>
      <c r="E115" s="14">
        <v>0</v>
      </c>
      <c r="F115" s="14">
        <v>0</v>
      </c>
      <c r="G115" s="14">
        <v>0</v>
      </c>
      <c r="H115" s="14">
        <v>0</v>
      </c>
      <c r="I115" s="14">
        <v>0</v>
      </c>
      <c r="J115" s="14">
        <v>0</v>
      </c>
      <c r="K115" s="14">
        <v>0</v>
      </c>
      <c r="L115" s="14">
        <v>0</v>
      </c>
    </row>
    <row r="116" spans="1:12">
      <c r="A116" s="13">
        <v>7080</v>
      </c>
      <c r="B116" s="13" t="s">
        <v>188</v>
      </c>
      <c r="C116" s="14">
        <v>0</v>
      </c>
      <c r="D116" s="14">
        <v>0</v>
      </c>
      <c r="E116" s="14">
        <v>0</v>
      </c>
      <c r="F116" s="14">
        <v>0</v>
      </c>
      <c r="G116" s="14">
        <v>0</v>
      </c>
      <c r="H116" s="14">
        <v>0</v>
      </c>
      <c r="I116" s="14">
        <v>0</v>
      </c>
      <c r="J116" s="14">
        <v>0</v>
      </c>
      <c r="K116" s="14">
        <v>0</v>
      </c>
      <c r="L116" s="14">
        <v>0</v>
      </c>
    </row>
    <row r="117" spans="1:12">
      <c r="A117" s="13">
        <v>7082</v>
      </c>
      <c r="B117" s="13" t="s">
        <v>189</v>
      </c>
      <c r="C117" s="14">
        <v>0</v>
      </c>
      <c r="D117" s="14">
        <v>0</v>
      </c>
      <c r="E117" s="14">
        <v>0</v>
      </c>
      <c r="F117" s="14">
        <v>0</v>
      </c>
      <c r="G117" s="14">
        <v>0</v>
      </c>
      <c r="H117" s="14">
        <v>0</v>
      </c>
      <c r="I117" s="14">
        <v>0</v>
      </c>
      <c r="J117" s="14">
        <v>0</v>
      </c>
      <c r="K117" s="14">
        <v>0</v>
      </c>
      <c r="L117" s="14">
        <v>0</v>
      </c>
    </row>
    <row r="118" spans="1:12">
      <c r="A118" s="13">
        <v>9999</v>
      </c>
      <c r="B118" s="13" t="s">
        <v>191</v>
      </c>
      <c r="C118" s="14">
        <v>0</v>
      </c>
      <c r="D118" s="14">
        <v>0</v>
      </c>
      <c r="E118" s="14">
        <v>0</v>
      </c>
      <c r="F118" s="14">
        <v>0</v>
      </c>
      <c r="G118" s="14">
        <v>0</v>
      </c>
      <c r="H118" s="14">
        <v>0</v>
      </c>
      <c r="I118" s="14">
        <v>0</v>
      </c>
      <c r="J118" s="14">
        <v>0</v>
      </c>
      <c r="K118" s="14">
        <v>0</v>
      </c>
      <c r="L118" s="14">
        <v>0</v>
      </c>
    </row>
  </sheetData>
  <mergeCells count="2">
    <mergeCell ref="A1:L2"/>
    <mergeCell ref="A3:L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36"/>
  <sheetViews>
    <sheetView showGridLines="0" workbookViewId="0">
      <selection sqref="A1:H2"/>
    </sheetView>
  </sheetViews>
  <sheetFormatPr defaultRowHeight="13.8"/>
  <cols>
    <col min="1" max="1" width="20" customWidth="1"/>
    <col min="2" max="7" width="10.5" customWidth="1"/>
    <col min="8" max="8" width="14" customWidth="1"/>
  </cols>
  <sheetData>
    <row r="1" spans="1:8" ht="12" customHeight="1">
      <c r="A1" s="69"/>
      <c r="B1" s="69"/>
      <c r="C1" s="69"/>
      <c r="D1" s="69"/>
      <c r="E1" s="69"/>
      <c r="F1" s="69"/>
      <c r="G1" s="69"/>
      <c r="H1" s="69"/>
    </row>
    <row r="2" spans="1:8" ht="12" customHeight="1">
      <c r="A2" s="69"/>
      <c r="B2" s="69"/>
      <c r="C2" s="69"/>
      <c r="D2" s="69"/>
      <c r="E2" s="69"/>
      <c r="F2" s="69"/>
      <c r="G2" s="69"/>
      <c r="H2" s="69"/>
    </row>
    <row r="3" spans="1:8" ht="12" customHeight="1">
      <c r="A3" s="70"/>
      <c r="B3" s="70"/>
      <c r="C3" s="70"/>
      <c r="D3" s="70"/>
      <c r="E3" s="70"/>
      <c r="F3" s="70"/>
      <c r="G3" s="70"/>
      <c r="H3" s="70"/>
    </row>
    <row r="4" spans="1:8" ht="12" customHeight="1">
      <c r="A4" s="71" t="str">
        <f>'Project Setup'!B6&amp;"  |  "&amp;'Project Setup'!B7&amp;"  |  "&amp;'Project Setup'!B8</f>
        <v>7772 Turner Rd.  |  Woodstock, GA 30188  |  (404) 867-7890</v>
      </c>
      <c r="B4" s="71"/>
      <c r="C4" s="71"/>
      <c r="D4" s="71"/>
      <c r="E4" s="71"/>
      <c r="F4" s="71"/>
      <c r="G4" s="71"/>
      <c r="H4" s="71"/>
    </row>
    <row r="5" spans="1:8">
      <c r="A5" s="29"/>
      <c r="B5" s="29"/>
      <c r="C5" s="29"/>
      <c r="D5" s="29"/>
      <c r="E5" s="29"/>
      <c r="F5" s="29"/>
      <c r="G5" s="29"/>
      <c r="H5" s="29"/>
    </row>
    <row r="6" spans="1:8" ht="12.75" customHeight="1">
      <c r="A6" s="72" t="s">
        <v>217</v>
      </c>
      <c r="B6" s="72"/>
      <c r="C6" s="29"/>
      <c r="D6" s="29"/>
      <c r="E6" s="29"/>
      <c r="F6" s="29"/>
      <c r="G6" s="65" t="str">
        <f>IF('Project Setup'!B16="","Estimate #","Estimate # "&amp;'Project Setup'!B16)</f>
        <v>Estimate #</v>
      </c>
      <c r="H6" s="65"/>
    </row>
    <row r="7" spans="1:8" ht="12.75" customHeight="1">
      <c r="A7" s="29"/>
      <c r="B7" s="29"/>
      <c r="C7" s="29"/>
      <c r="D7" s="29"/>
      <c r="E7" s="29"/>
      <c r="F7" s="29"/>
      <c r="G7" s="66" t="str">
        <f>IF('Project Setup'!B17="","",'Project Setup'!B17)</f>
        <v/>
      </c>
      <c r="H7" s="66"/>
    </row>
    <row r="8" spans="1:8" ht="12.75" customHeight="1">
      <c r="A8" s="68" t="s">
        <v>218</v>
      </c>
      <c r="B8" s="68"/>
      <c r="C8" s="68"/>
      <c r="D8" s="68" t="s">
        <v>219</v>
      </c>
      <c r="E8" s="68"/>
      <c r="F8" s="68"/>
      <c r="G8" s="30"/>
      <c r="H8" s="30"/>
    </row>
    <row r="9" spans="1:8" ht="12.75" customHeight="1">
      <c r="A9" s="64" t="str">
        <f>IF('Project Setup'!B10="","",'Project Setup'!B10)</f>
        <v/>
      </c>
      <c r="B9" s="64"/>
      <c r="C9" s="64"/>
      <c r="D9" s="64" t="str">
        <f>'Project Setup'!B5</f>
        <v>Stone Column Properties, LLC.</v>
      </c>
      <c r="E9" s="64"/>
      <c r="F9" s="64"/>
      <c r="G9" s="30"/>
      <c r="H9" s="30"/>
    </row>
    <row r="10" spans="1:8" ht="12.75" customHeight="1">
      <c r="A10" s="64" t="str">
        <f>IF('Project Setup'!B11="","",'Project Setup'!B11)</f>
        <v/>
      </c>
      <c r="B10" s="64"/>
      <c r="C10" s="64"/>
      <c r="D10" s="64" t="str">
        <f>'Project Setup'!B6&amp;", "&amp;'Project Setup'!B7</f>
        <v>7772 Turner Rd., Woodstock, GA 30188</v>
      </c>
      <c r="E10" s="64"/>
      <c r="F10" s="64"/>
      <c r="G10" s="30"/>
      <c r="H10" s="30"/>
    </row>
    <row r="11" spans="1:8" ht="12.75" customHeight="1">
      <c r="A11" s="64" t="str">
        <f>IF('Project Setup'!B12="","",'Project Setup'!B12)</f>
        <v/>
      </c>
      <c r="B11" s="64"/>
      <c r="C11" s="64"/>
      <c r="D11" s="68" t="s">
        <v>220</v>
      </c>
      <c r="E11" s="68"/>
      <c r="F11" s="68"/>
      <c r="G11" s="30"/>
      <c r="H11" s="30"/>
    </row>
    <row r="12" spans="1:8" ht="12.75" customHeight="1">
      <c r="A12" s="30"/>
      <c r="B12" s="30"/>
      <c r="C12" s="30"/>
      <c r="D12" s="64" t="str">
        <f>IF('Project Setup'!B14="","",'Project Setup'!B14)</f>
        <v/>
      </c>
      <c r="E12" s="64"/>
      <c r="F12" s="64"/>
      <c r="G12" s="30"/>
      <c r="H12" s="30"/>
    </row>
    <row r="13" spans="1:8">
      <c r="A13" s="29"/>
      <c r="B13" s="29"/>
      <c r="C13" s="29"/>
      <c r="D13" s="29"/>
      <c r="E13" s="29"/>
      <c r="F13" s="29"/>
      <c r="G13" s="29"/>
      <c r="H13" s="29"/>
    </row>
    <row r="14" spans="1:8" ht="18" customHeight="1">
      <c r="A14" s="31" t="s">
        <v>221</v>
      </c>
      <c r="B14" s="67" t="s">
        <v>222</v>
      </c>
      <c r="C14" s="67"/>
      <c r="D14" s="67"/>
      <c r="E14" s="67"/>
      <c r="F14" s="67"/>
      <c r="G14" s="67"/>
      <c r="H14" s="31" t="s">
        <v>223</v>
      </c>
    </row>
    <row r="15" spans="1:8" ht="21" customHeight="1">
      <c r="A15" s="32" t="s">
        <v>72</v>
      </c>
      <c r="B15" s="54" t="s">
        <v>224</v>
      </c>
      <c r="C15" s="54"/>
      <c r="D15" s="54"/>
      <c r="E15" s="54"/>
      <c r="F15" s="54"/>
      <c r="G15" s="54"/>
      <c r="H15" s="33">
        <f>SUMIFS(BUDGET!$H$6:$H$118,BUDGET!$K$6:$K$118,A15,BUDGET!$I$6:$I$118,"Yes")</f>
        <v>0</v>
      </c>
    </row>
    <row r="16" spans="1:8" ht="21" customHeight="1">
      <c r="A16" s="32" t="s">
        <v>78</v>
      </c>
      <c r="B16" s="54" t="s">
        <v>225</v>
      </c>
      <c r="C16" s="54"/>
      <c r="D16" s="54"/>
      <c r="E16" s="54"/>
      <c r="F16" s="54"/>
      <c r="G16" s="54"/>
      <c r="H16" s="33">
        <f>SUMIFS(BUDGET!$H$6:$H$118,BUDGET!$K$6:$K$118,A16,BUDGET!$I$6:$I$118,"Yes")</f>
        <v>0</v>
      </c>
    </row>
    <row r="17" spans="1:8" ht="21" customHeight="1">
      <c r="A17" s="32" t="s">
        <v>89</v>
      </c>
      <c r="B17" s="54" t="s">
        <v>226</v>
      </c>
      <c r="C17" s="54"/>
      <c r="D17" s="54"/>
      <c r="E17" s="54"/>
      <c r="F17" s="54"/>
      <c r="G17" s="54"/>
      <c r="H17" s="33">
        <f>SUMIFS(BUDGET!$H$6:$H$118,BUDGET!$K$6:$K$118,A17,BUDGET!$I$6:$I$118,"Yes")</f>
        <v>0</v>
      </c>
    </row>
    <row r="18" spans="1:8" ht="21" customHeight="1">
      <c r="A18" s="32" t="s">
        <v>103</v>
      </c>
      <c r="B18" s="54" t="s">
        <v>227</v>
      </c>
      <c r="C18" s="54"/>
      <c r="D18" s="54"/>
      <c r="E18" s="54"/>
      <c r="F18" s="54"/>
      <c r="G18" s="54"/>
      <c r="H18" s="33">
        <f>SUMIFS(BUDGET!$H$6:$H$118,BUDGET!$K$6:$K$118,A18,BUDGET!$I$6:$I$118,"Yes")</f>
        <v>0</v>
      </c>
    </row>
    <row r="19" spans="1:8" ht="21" customHeight="1">
      <c r="A19" s="32" t="s">
        <v>139</v>
      </c>
      <c r="B19" s="54" t="s">
        <v>228</v>
      </c>
      <c r="C19" s="54"/>
      <c r="D19" s="54"/>
      <c r="E19" s="54"/>
      <c r="F19" s="54"/>
      <c r="G19" s="54"/>
      <c r="H19" s="33">
        <f>SUMIFS(BUDGET!$H$6:$H$118,BUDGET!$K$6:$K$118,A19,BUDGET!$I$6:$I$118,"Yes")</f>
        <v>0</v>
      </c>
    </row>
    <row r="20" spans="1:8" ht="21" customHeight="1">
      <c r="A20" s="32" t="s">
        <v>175</v>
      </c>
      <c r="B20" s="54" t="s">
        <v>229</v>
      </c>
      <c r="C20" s="54"/>
      <c r="D20" s="54"/>
      <c r="E20" s="54"/>
      <c r="F20" s="54"/>
      <c r="G20" s="54"/>
      <c r="H20" s="33">
        <f>SUMIFS(BUDGET!$H$6:$H$118,BUDGET!$K$6:$K$118,A20,BUDGET!$I$6:$I$118,"Yes")</f>
        <v>0</v>
      </c>
    </row>
    <row r="21" spans="1:8" ht="21" customHeight="1">
      <c r="A21" s="32" t="s">
        <v>184</v>
      </c>
      <c r="B21" s="54" t="s">
        <v>230</v>
      </c>
      <c r="C21" s="54"/>
      <c r="D21" s="54"/>
      <c r="E21" s="54"/>
      <c r="F21" s="54"/>
      <c r="G21" s="54"/>
      <c r="H21" s="33">
        <f>SUMIFS(BUDGET!$H$6:$H$118,BUDGET!$K$6:$K$118,A21,BUDGET!$I$6:$I$118,"Yes")</f>
        <v>0</v>
      </c>
    </row>
    <row r="22" spans="1:8">
      <c r="A22" s="29"/>
      <c r="B22" s="29"/>
      <c r="C22" s="29"/>
      <c r="D22" s="29"/>
      <c r="E22" s="29"/>
      <c r="F22" s="29"/>
      <c r="G22" s="29"/>
      <c r="H22" s="29"/>
    </row>
    <row r="23" spans="1:8">
      <c r="A23" s="29"/>
      <c r="B23" s="29"/>
      <c r="C23" s="29"/>
      <c r="D23" s="29"/>
      <c r="E23" s="29"/>
      <c r="F23" s="29"/>
      <c r="G23" s="29"/>
      <c r="H23" s="29"/>
    </row>
    <row r="24" spans="1:8" ht="13.5" customHeight="1">
      <c r="A24" s="55" t="str">
        <f>'Project Setup'!B20</f>
        <v>Cost-plus arrangement. Budget amounts are estimates only. Owner is billed for actual project costs incurred plus the stated project-management fee.</v>
      </c>
      <c r="B24" s="56"/>
      <c r="C24" s="56"/>
      <c r="D24" s="56"/>
      <c r="E24" s="57"/>
      <c r="F24" s="52" t="s">
        <v>231</v>
      </c>
      <c r="G24" s="52"/>
      <c r="H24" s="34">
        <f>BUDGET!H120</f>
        <v>0</v>
      </c>
    </row>
    <row r="25" spans="1:8" ht="13.5" customHeight="1">
      <c r="A25" s="58"/>
      <c r="B25" s="59"/>
      <c r="C25" s="59"/>
      <c r="D25" s="59"/>
      <c r="E25" s="60"/>
      <c r="F25" s="52" t="str">
        <f>"Management Fee ("&amp;TEXT('Project Setup'!B18,"0%")&amp;")"</f>
        <v>Management Fee (18%)</v>
      </c>
      <c r="G25" s="52"/>
      <c r="H25" s="34">
        <f>BUDGET!H121</f>
        <v>0</v>
      </c>
    </row>
    <row r="26" spans="1:8" ht="13.5" customHeight="1">
      <c r="A26" s="58"/>
      <c r="B26" s="59"/>
      <c r="C26" s="59"/>
      <c r="D26" s="59"/>
      <c r="E26" s="60"/>
      <c r="F26" s="34"/>
      <c r="G26" s="34"/>
      <c r="H26" s="34"/>
    </row>
    <row r="27" spans="1:8" ht="13.5" customHeight="1">
      <c r="A27" s="58"/>
      <c r="B27" s="59"/>
      <c r="C27" s="59"/>
      <c r="D27" s="59"/>
      <c r="E27" s="60"/>
      <c r="F27" s="52" t="s">
        <v>194</v>
      </c>
      <c r="G27" s="52"/>
      <c r="H27" s="35">
        <f>BUDGET!H122</f>
        <v>0</v>
      </c>
    </row>
    <row r="28" spans="1:8" ht="13.5" customHeight="1">
      <c r="A28" s="61"/>
      <c r="B28" s="62"/>
      <c r="C28" s="62"/>
      <c r="D28" s="62"/>
      <c r="E28" s="63"/>
      <c r="F28" s="34"/>
      <c r="G28" s="34"/>
      <c r="H28" s="34"/>
    </row>
    <row r="29" spans="1:8" ht="13.5" customHeight="1">
      <c r="A29" s="29"/>
      <c r="B29" s="29"/>
      <c r="C29" s="29"/>
      <c r="D29" s="29"/>
      <c r="E29" s="29"/>
      <c r="F29" s="52" t="s">
        <v>232</v>
      </c>
      <c r="G29" s="52"/>
      <c r="H29" s="34">
        <f>H27*'Project Setup'!B19</f>
        <v>0</v>
      </c>
    </row>
    <row r="30" spans="1:8">
      <c r="A30" s="29"/>
      <c r="B30" s="29"/>
      <c r="C30" s="29"/>
      <c r="D30" s="29"/>
      <c r="E30" s="29"/>
      <c r="F30" s="29"/>
      <c r="G30" s="29"/>
      <c r="H30" s="29"/>
    </row>
    <row r="31" spans="1:8">
      <c r="A31" s="29"/>
      <c r="B31" s="29"/>
      <c r="C31" s="29"/>
      <c r="D31" s="29"/>
      <c r="E31" s="29"/>
      <c r="F31" s="29"/>
      <c r="G31" s="29"/>
      <c r="H31" s="29"/>
    </row>
    <row r="32" spans="1:8">
      <c r="A32" s="53" t="s">
        <v>233</v>
      </c>
      <c r="B32" s="53"/>
      <c r="C32" s="53"/>
      <c r="D32" s="53"/>
      <c r="E32" s="29"/>
      <c r="F32" s="29"/>
      <c r="G32" s="29"/>
      <c r="H32" s="29"/>
    </row>
    <row r="33" spans="1:8">
      <c r="A33" s="29"/>
      <c r="B33" s="29"/>
      <c r="C33" s="29"/>
      <c r="D33" s="29"/>
      <c r="E33" s="29"/>
      <c r="F33" s="29"/>
      <c r="G33" s="29"/>
      <c r="H33" s="29"/>
    </row>
    <row r="34" spans="1:8">
      <c r="A34" s="36"/>
      <c r="B34" s="36"/>
      <c r="C34" s="36"/>
      <c r="D34" s="36"/>
      <c r="E34" s="36"/>
      <c r="F34" s="29"/>
      <c r="G34" s="29"/>
      <c r="H34" s="29"/>
    </row>
    <row r="35" spans="1:8">
      <c r="A35" s="37"/>
      <c r="B35" s="37"/>
      <c r="C35" s="37"/>
      <c r="D35" s="37"/>
      <c r="E35" s="37"/>
      <c r="F35" s="37"/>
      <c r="G35" s="37"/>
      <c r="H35" s="37"/>
    </row>
    <row r="36" spans="1:8">
      <c r="A36" s="37"/>
      <c r="B36" s="37"/>
      <c r="C36" s="37"/>
      <c r="D36" s="37"/>
      <c r="E36" s="37"/>
      <c r="F36" s="37"/>
      <c r="G36" s="37"/>
      <c r="H36" s="37"/>
    </row>
  </sheetData>
  <mergeCells count="29">
    <mergeCell ref="A1:H2"/>
    <mergeCell ref="A3:H3"/>
    <mergeCell ref="A4:H4"/>
    <mergeCell ref="A6:B6"/>
    <mergeCell ref="A8:C8"/>
    <mergeCell ref="D12:F12"/>
    <mergeCell ref="G6:H6"/>
    <mergeCell ref="G7:H7"/>
    <mergeCell ref="B14:G14"/>
    <mergeCell ref="B15:G15"/>
    <mergeCell ref="A9:C9"/>
    <mergeCell ref="A10:C10"/>
    <mergeCell ref="A11:C11"/>
    <mergeCell ref="D8:F8"/>
    <mergeCell ref="D9:F9"/>
    <mergeCell ref="D10:F10"/>
    <mergeCell ref="D11:F11"/>
    <mergeCell ref="B16:G16"/>
    <mergeCell ref="B17:G17"/>
    <mergeCell ref="B18:G18"/>
    <mergeCell ref="B19:G19"/>
    <mergeCell ref="B20:G20"/>
    <mergeCell ref="F29:G29"/>
    <mergeCell ref="A32:D32"/>
    <mergeCell ref="B21:G21"/>
    <mergeCell ref="A24:E28"/>
    <mergeCell ref="F24:G24"/>
    <mergeCell ref="F25:G25"/>
    <mergeCell ref="F27:G27"/>
  </mergeCells>
  <printOptions horizontalCentered="1"/>
  <pageMargins left="0.3" right="0.3" top="0.35" bottom="0.35" header="0.15" footer="0.15"/>
  <pageSetup fitToHeight="0"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36"/>
  <sheetViews>
    <sheetView showGridLines="0" workbookViewId="0">
      <selection activeCell="H25" sqref="H25"/>
    </sheetView>
  </sheetViews>
  <sheetFormatPr defaultRowHeight="13.8"/>
  <cols>
    <col min="1" max="1" width="20" customWidth="1"/>
    <col min="2" max="7" width="10.5" customWidth="1"/>
    <col min="8" max="8" width="14" customWidth="1"/>
  </cols>
  <sheetData>
    <row r="1" spans="1:8" ht="12" customHeight="1">
      <c r="A1" s="69"/>
      <c r="B1" s="69"/>
      <c r="C1" s="69"/>
      <c r="D1" s="69"/>
      <c r="E1" s="69"/>
      <c r="F1" s="69"/>
      <c r="G1" s="69"/>
      <c r="H1" s="69"/>
    </row>
    <row r="2" spans="1:8" ht="12" customHeight="1">
      <c r="A2" s="69"/>
      <c r="B2" s="69"/>
      <c r="C2" s="69"/>
      <c r="D2" s="69"/>
      <c r="E2" s="69"/>
      <c r="F2" s="69"/>
      <c r="G2" s="69"/>
      <c r="H2" s="69"/>
    </row>
    <row r="3" spans="1:8" ht="12" customHeight="1">
      <c r="A3" s="70"/>
      <c r="B3" s="70"/>
      <c r="C3" s="70"/>
      <c r="D3" s="70"/>
      <c r="E3" s="70"/>
      <c r="F3" s="70"/>
      <c r="G3" s="70"/>
      <c r="H3" s="70"/>
    </row>
    <row r="4" spans="1:8" ht="12" customHeight="1">
      <c r="A4" s="71" t="str">
        <f>'Project Setup'!B6&amp;"  |  "&amp;'Project Setup'!B7&amp;"  |  "&amp;'Project Setup'!B8</f>
        <v>7772 Turner Rd.  |  Woodstock, GA 30188  |  (404) 867-7890</v>
      </c>
      <c r="B4" s="71"/>
      <c r="C4" s="71"/>
      <c r="D4" s="71"/>
      <c r="E4" s="71"/>
      <c r="F4" s="71"/>
      <c r="G4" s="71"/>
      <c r="H4" s="71"/>
    </row>
    <row r="5" spans="1:8">
      <c r="A5" s="29"/>
      <c r="B5" s="29"/>
      <c r="C5" s="29"/>
      <c r="D5" s="29"/>
      <c r="E5" s="29"/>
      <c r="F5" s="29"/>
      <c r="G5" s="29"/>
      <c r="H5" s="29"/>
    </row>
    <row r="6" spans="1:8" ht="12.75" customHeight="1">
      <c r="A6" s="72" t="s">
        <v>234</v>
      </c>
      <c r="B6" s="72"/>
      <c r="C6" s="29"/>
      <c r="D6" s="29"/>
      <c r="E6" s="29"/>
      <c r="F6" s="29"/>
      <c r="G6" s="65" t="str">
        <f>IF('Project Setup'!B22="","INVOICE","Invoice # "&amp;'Project Setup'!B22&amp;TEXT('Project Setup'!B21,"00"))</f>
        <v>INVOICE</v>
      </c>
      <c r="H6" s="65"/>
    </row>
    <row r="7" spans="1:8" ht="12.75" customHeight="1">
      <c r="A7" s="29"/>
      <c r="B7" s="29"/>
      <c r="C7" s="29"/>
      <c r="D7" s="29"/>
      <c r="E7" s="29"/>
      <c r="F7" s="29"/>
      <c r="G7" s="78" t="str">
        <f>"Progress Draw "&amp;'Project Setup'!B21</f>
        <v>Progress Draw 1</v>
      </c>
      <c r="H7" s="78"/>
    </row>
    <row r="8" spans="1:8" ht="12.75" customHeight="1">
      <c r="A8" s="68" t="s">
        <v>235</v>
      </c>
      <c r="B8" s="68"/>
      <c r="C8" s="68"/>
      <c r="D8" s="68" t="s">
        <v>219</v>
      </c>
      <c r="E8" s="68"/>
      <c r="F8" s="68"/>
      <c r="G8" s="79" t="str">
        <f>IF('Project Setup'!B23="","","Invoice date: "&amp;TEXT('Project Setup'!B23,"m/d/yyyy"))</f>
        <v/>
      </c>
      <c r="H8" s="79"/>
    </row>
    <row r="9" spans="1:8" ht="12.75" customHeight="1">
      <c r="A9" s="64" t="str">
        <f>IF('Project Setup'!B10="","",'Project Setup'!B10)</f>
        <v/>
      </c>
      <c r="B9" s="64"/>
      <c r="C9" s="64"/>
      <c r="D9" s="64" t="str">
        <f>'Project Setup'!B5</f>
        <v>Stone Column Properties, LLC.</v>
      </c>
      <c r="E9" s="64"/>
      <c r="F9" s="64"/>
      <c r="G9" s="79" t="str">
        <f>IF('Project Setup'!B24="","","Due: "&amp;TEXT('Project Setup'!B24,"m/d/yyyy"))</f>
        <v/>
      </c>
      <c r="H9" s="79"/>
    </row>
    <row r="10" spans="1:8" ht="12.75" customHeight="1">
      <c r="A10" s="64" t="str">
        <f>IF('Project Setup'!B11="","",'Project Setup'!B11)</f>
        <v/>
      </c>
      <c r="B10" s="64"/>
      <c r="C10" s="64"/>
      <c r="D10" s="64" t="str">
        <f>'Project Setup'!B6&amp;", "&amp;'Project Setup'!B7</f>
        <v>7772 Turner Rd., Woodstock, GA 30188</v>
      </c>
      <c r="E10" s="64"/>
      <c r="F10" s="64"/>
      <c r="G10" s="30"/>
      <c r="H10" s="30"/>
    </row>
    <row r="11" spans="1:8" ht="12.75" customHeight="1">
      <c r="A11" s="64" t="str">
        <f>IF('Project Setup'!B12="","",'Project Setup'!B12)</f>
        <v/>
      </c>
      <c r="B11" s="64"/>
      <c r="C11" s="64"/>
      <c r="D11" s="68" t="s">
        <v>220</v>
      </c>
      <c r="E11" s="68"/>
      <c r="F11" s="68"/>
      <c r="G11" s="30"/>
      <c r="H11" s="30"/>
    </row>
    <row r="12" spans="1:8" ht="12.75" customHeight="1">
      <c r="A12" s="30"/>
      <c r="B12" s="30"/>
      <c r="C12" s="30"/>
      <c r="D12" s="64" t="str">
        <f>IF('Project Setup'!B14="","",'Project Setup'!B14)</f>
        <v/>
      </c>
      <c r="E12" s="64"/>
      <c r="F12" s="64"/>
      <c r="G12" s="30"/>
      <c r="H12" s="30"/>
    </row>
    <row r="13" spans="1:8">
      <c r="A13" s="29"/>
      <c r="B13" s="29"/>
      <c r="C13" s="29"/>
      <c r="D13" s="29"/>
      <c r="E13" s="29"/>
      <c r="F13" s="29"/>
      <c r="G13" s="29"/>
      <c r="H13" s="29"/>
    </row>
    <row r="14" spans="1:8" ht="18" customHeight="1">
      <c r="A14" s="38" t="s">
        <v>236</v>
      </c>
      <c r="B14" s="77" t="s">
        <v>237</v>
      </c>
      <c r="C14" s="77"/>
      <c r="D14" s="77"/>
      <c r="E14" s="77" t="s">
        <v>238</v>
      </c>
      <c r="F14" s="77"/>
      <c r="G14" s="77"/>
      <c r="H14" s="38" t="s">
        <v>239</v>
      </c>
    </row>
    <row r="15" spans="1:8" ht="18" customHeight="1">
      <c r="A15" s="39" t="s">
        <v>72</v>
      </c>
      <c r="B15" s="76">
        <f>SUMIFS('COST RECONCILIATION'!$F$6:$F$118,BUDGET!$K$6:$K$118,A15,BUDGET!$J$6:$J$118,"Yes")</f>
        <v>0</v>
      </c>
      <c r="C15" s="76"/>
      <c r="D15" s="76"/>
      <c r="E15" s="76">
        <f>SUMIFS('COST RECONCILIATION'!$E$6:$E$118,BUDGET!$K$6:$K$118,A15,BUDGET!$J$6:$J$118,"Yes")</f>
        <v>0</v>
      </c>
      <c r="F15" s="76"/>
      <c r="G15" s="76"/>
      <c r="H15" s="33">
        <f t="shared" ref="H15:H21" si="0">B15+E15</f>
        <v>0</v>
      </c>
    </row>
    <row r="16" spans="1:8" ht="18" customHeight="1">
      <c r="A16" s="39" t="s">
        <v>78</v>
      </c>
      <c r="B16" s="76">
        <f>SUMIFS('COST RECONCILIATION'!$F$6:$F$118,BUDGET!$K$6:$K$118,A16,BUDGET!$J$6:$J$118,"Yes")</f>
        <v>0</v>
      </c>
      <c r="C16" s="76"/>
      <c r="D16" s="76"/>
      <c r="E16" s="76">
        <f>SUMIFS('COST RECONCILIATION'!$E$6:$E$118,BUDGET!$K$6:$K$118,A16,BUDGET!$J$6:$J$118,"Yes")</f>
        <v>0</v>
      </c>
      <c r="F16" s="76"/>
      <c r="G16" s="76"/>
      <c r="H16" s="33">
        <f t="shared" si="0"/>
        <v>0</v>
      </c>
    </row>
    <row r="17" spans="1:8" ht="18" customHeight="1">
      <c r="A17" s="39" t="s">
        <v>89</v>
      </c>
      <c r="B17" s="76">
        <f>SUMIFS('COST RECONCILIATION'!$F$6:$F$118,BUDGET!$K$6:$K$118,A17,BUDGET!$J$6:$J$118,"Yes")</f>
        <v>0</v>
      </c>
      <c r="C17" s="76"/>
      <c r="D17" s="76"/>
      <c r="E17" s="76">
        <f>SUMIFS('COST RECONCILIATION'!$E$6:$E$118,BUDGET!$K$6:$K$118,A17,BUDGET!$J$6:$J$118,"Yes")</f>
        <v>0</v>
      </c>
      <c r="F17" s="76"/>
      <c r="G17" s="76"/>
      <c r="H17" s="33">
        <f t="shared" si="0"/>
        <v>0</v>
      </c>
    </row>
    <row r="18" spans="1:8" ht="18" customHeight="1">
      <c r="A18" s="39" t="s">
        <v>103</v>
      </c>
      <c r="B18" s="76">
        <f>SUMIFS('COST RECONCILIATION'!$F$6:$F$118,BUDGET!$K$6:$K$118,A18,BUDGET!$J$6:$J$118,"Yes")</f>
        <v>0</v>
      </c>
      <c r="C18" s="76"/>
      <c r="D18" s="76"/>
      <c r="E18" s="76">
        <f>SUMIFS('COST RECONCILIATION'!$E$6:$E$118,BUDGET!$K$6:$K$118,A18,BUDGET!$J$6:$J$118,"Yes")</f>
        <v>0</v>
      </c>
      <c r="F18" s="76"/>
      <c r="G18" s="76"/>
      <c r="H18" s="33">
        <f t="shared" si="0"/>
        <v>0</v>
      </c>
    </row>
    <row r="19" spans="1:8" ht="18" customHeight="1">
      <c r="A19" s="39" t="s">
        <v>139</v>
      </c>
      <c r="B19" s="76">
        <f>SUMIFS('COST RECONCILIATION'!$F$6:$F$118,BUDGET!$K$6:$K$118,A19,BUDGET!$J$6:$J$118,"Yes")</f>
        <v>0</v>
      </c>
      <c r="C19" s="76"/>
      <c r="D19" s="76"/>
      <c r="E19" s="76">
        <f>SUMIFS('COST RECONCILIATION'!$E$6:$E$118,BUDGET!$K$6:$K$118,A19,BUDGET!$J$6:$J$118,"Yes")</f>
        <v>0</v>
      </c>
      <c r="F19" s="76"/>
      <c r="G19" s="76"/>
      <c r="H19" s="33">
        <f t="shared" si="0"/>
        <v>0</v>
      </c>
    </row>
    <row r="20" spans="1:8" ht="18" customHeight="1">
      <c r="A20" s="39" t="s">
        <v>175</v>
      </c>
      <c r="B20" s="76">
        <f>SUMIFS('COST RECONCILIATION'!$F$6:$F$118,BUDGET!$K$6:$K$118,A20,BUDGET!$J$6:$J$118,"Yes")</f>
        <v>0</v>
      </c>
      <c r="C20" s="76"/>
      <c r="D20" s="76"/>
      <c r="E20" s="76">
        <f>SUMIFS('COST RECONCILIATION'!$E$6:$E$118,BUDGET!$K$6:$K$118,A20,BUDGET!$J$6:$J$118,"Yes")</f>
        <v>0</v>
      </c>
      <c r="F20" s="76"/>
      <c r="G20" s="76"/>
      <c r="H20" s="33">
        <f t="shared" si="0"/>
        <v>0</v>
      </c>
    </row>
    <row r="21" spans="1:8" ht="18" customHeight="1">
      <c r="A21" s="39" t="s">
        <v>184</v>
      </c>
      <c r="B21" s="76">
        <f>SUMIFS('COST RECONCILIATION'!$F$6:$F$118,BUDGET!$K$6:$K$118,A21,BUDGET!$J$6:$J$118,"Yes")</f>
        <v>0</v>
      </c>
      <c r="C21" s="76"/>
      <c r="D21" s="76"/>
      <c r="E21" s="76">
        <f>SUMIFS('COST RECONCILIATION'!$E$6:$E$118,BUDGET!$K$6:$K$118,A21,BUDGET!$J$6:$J$118,"Yes")</f>
        <v>0</v>
      </c>
      <c r="F21" s="76"/>
      <c r="G21" s="76"/>
      <c r="H21" s="33">
        <f t="shared" si="0"/>
        <v>0</v>
      </c>
    </row>
    <row r="22" spans="1:8">
      <c r="A22" s="29"/>
      <c r="B22" s="29"/>
      <c r="C22" s="29"/>
      <c r="D22" s="29"/>
      <c r="E22" s="29"/>
      <c r="F22" s="29"/>
      <c r="G22" s="29"/>
      <c r="H22" s="29"/>
    </row>
    <row r="23" spans="1:8">
      <c r="A23" s="29"/>
      <c r="B23" s="29"/>
      <c r="C23" s="29"/>
      <c r="D23" s="29"/>
      <c r="E23" s="29"/>
      <c r="F23" s="29"/>
      <c r="G23" s="29"/>
      <c r="H23" s="29"/>
    </row>
    <row r="24" spans="1:8" ht="13.5" customHeight="1">
      <c r="A24" s="55" t="str">
        <f>"Cost-plus billing based on cumulative QuickBooks actual job costs"&amp;IF('Project Setup'!B23="",""," through "&amp;TEXT('Project Setup'!B23,"m/d/yyyy"))&amp;". Current draw equals cumulative actual cost less actual costs billed on prior draws. Budget figures are estimates only and do not cap actual reimbursable costs."&amp;CHAR(10)&amp;CHAR(10)&amp;"Payment terms: "&amp;'Project Setup'!B26</f>
        <v>Cost-plus billing based on cumulative QuickBooks actual job costs. Current draw equals cumulative actual cost less actual costs billed on prior draws. Budget figures are estimates only and do not cap actual reimbursable costs.
Payment terms: Due upon receipt</v>
      </c>
      <c r="B24" s="56"/>
      <c r="C24" s="56"/>
      <c r="D24" s="57"/>
      <c r="E24" s="52" t="s">
        <v>240</v>
      </c>
      <c r="F24" s="52"/>
      <c r="G24" s="52"/>
      <c r="H24" s="34">
        <f>SUM(B15:B21)</f>
        <v>0</v>
      </c>
    </row>
    <row r="25" spans="1:8" ht="13.5" customHeight="1">
      <c r="A25" s="58"/>
      <c r="B25" s="59"/>
      <c r="C25" s="59"/>
      <c r="D25" s="60"/>
      <c r="E25" s="52" t="str">
        <f>"Management Fee ("&amp;TEXT('Project Setup'!B18,"0%")&amp;")"</f>
        <v>Management Fee (18%)</v>
      </c>
      <c r="F25" s="52"/>
      <c r="G25" s="52"/>
      <c r="H25" s="34">
        <f>H24*'Project Setup'!B18</f>
        <v>0</v>
      </c>
    </row>
    <row r="26" spans="1:8" ht="13.5" customHeight="1">
      <c r="A26" s="58"/>
      <c r="B26" s="59"/>
      <c r="C26" s="59"/>
      <c r="D26" s="60"/>
      <c r="E26" s="52" t="s">
        <v>241</v>
      </c>
      <c r="F26" s="52"/>
      <c r="G26" s="52"/>
      <c r="H26" s="34">
        <f>H24+H25</f>
        <v>0</v>
      </c>
    </row>
    <row r="27" spans="1:8" ht="13.5" customHeight="1">
      <c r="A27" s="58"/>
      <c r="B27" s="59"/>
      <c r="C27" s="59"/>
      <c r="D27" s="60"/>
      <c r="E27" s="52" t="s">
        <v>242</v>
      </c>
      <c r="F27" s="52"/>
      <c r="G27" s="52"/>
      <c r="H27" s="34">
        <f>-'Project Setup'!B25</f>
        <v>0</v>
      </c>
    </row>
    <row r="28" spans="1:8" ht="13.5" customHeight="1">
      <c r="A28" s="61"/>
      <c r="B28" s="62"/>
      <c r="C28" s="62"/>
      <c r="D28" s="63"/>
      <c r="E28" s="34"/>
      <c r="F28" s="34"/>
      <c r="G28" s="34"/>
      <c r="H28" s="34"/>
    </row>
    <row r="29" spans="1:8" ht="13.5" customHeight="1">
      <c r="A29" s="29"/>
      <c r="B29" s="29"/>
      <c r="C29" s="29"/>
      <c r="D29" s="29"/>
      <c r="E29" s="73" t="s">
        <v>243</v>
      </c>
      <c r="F29" s="74"/>
      <c r="G29" s="74"/>
      <c r="H29" s="40">
        <f>H26+H27</f>
        <v>0</v>
      </c>
    </row>
    <row r="30" spans="1:8" ht="13.5" customHeight="1">
      <c r="A30" s="29"/>
      <c r="B30" s="29"/>
      <c r="C30" s="29"/>
      <c r="D30" s="29"/>
      <c r="E30" s="34"/>
      <c r="F30" s="34"/>
      <c r="G30" s="34"/>
      <c r="H30" s="34"/>
    </row>
    <row r="31" spans="1:8" ht="13.5" customHeight="1">
      <c r="A31" s="29"/>
      <c r="B31" s="29"/>
      <c r="C31" s="29"/>
      <c r="D31" s="29"/>
      <c r="E31" s="52" t="s">
        <v>244</v>
      </c>
      <c r="F31" s="52"/>
      <c r="G31" s="52"/>
      <c r="H31" s="34">
        <f>SUM(E15:E21)*(1+'Project Setup'!B18)</f>
        <v>0</v>
      </c>
    </row>
    <row r="32" spans="1:8" ht="13.5" customHeight="1">
      <c r="A32" s="29"/>
      <c r="B32" s="29"/>
      <c r="C32" s="29"/>
      <c r="D32" s="29"/>
      <c r="E32" s="52" t="s">
        <v>245</v>
      </c>
      <c r="F32" s="52"/>
      <c r="G32" s="52"/>
      <c r="H32" s="34">
        <f>(SUM(H15:H21))*(1+'Project Setup'!B18)</f>
        <v>0</v>
      </c>
    </row>
    <row r="33" spans="1:8">
      <c r="A33" s="29"/>
      <c r="B33" s="29"/>
      <c r="C33" s="29"/>
      <c r="D33" s="29"/>
      <c r="E33" s="29"/>
      <c r="F33" s="29"/>
      <c r="G33" s="29"/>
      <c r="H33" s="29"/>
    </row>
    <row r="34" spans="1:8">
      <c r="A34" s="29"/>
      <c r="B34" s="29"/>
      <c r="C34" s="29"/>
      <c r="D34" s="29"/>
      <c r="E34" s="29"/>
      <c r="F34" s="29"/>
      <c r="G34" s="29"/>
      <c r="H34" s="29"/>
    </row>
    <row r="35" spans="1:8">
      <c r="A35" s="75" t="s">
        <v>246</v>
      </c>
      <c r="B35" s="75"/>
      <c r="C35" s="75"/>
      <c r="D35" s="75"/>
      <c r="E35" s="75"/>
      <c r="F35" s="75"/>
      <c r="G35" s="75"/>
      <c r="H35" s="75"/>
    </row>
    <row r="36" spans="1:8">
      <c r="A36" s="75"/>
      <c r="B36" s="75"/>
      <c r="C36" s="75"/>
      <c r="D36" s="75"/>
      <c r="E36" s="75"/>
      <c r="F36" s="75"/>
      <c r="G36" s="75"/>
      <c r="H36" s="75"/>
    </row>
  </sheetData>
  <mergeCells count="42">
    <mergeCell ref="A1:H2"/>
    <mergeCell ref="A3:H3"/>
    <mergeCell ref="A4:H4"/>
    <mergeCell ref="A6:B6"/>
    <mergeCell ref="A8:C8"/>
    <mergeCell ref="A9:C9"/>
    <mergeCell ref="A10:C10"/>
    <mergeCell ref="A11:C11"/>
    <mergeCell ref="D8:F8"/>
    <mergeCell ref="D9:F9"/>
    <mergeCell ref="D10:F10"/>
    <mergeCell ref="D11:F11"/>
    <mergeCell ref="D12:F12"/>
    <mergeCell ref="G6:H6"/>
    <mergeCell ref="G7:H7"/>
    <mergeCell ref="G8:H8"/>
    <mergeCell ref="G9:H9"/>
    <mergeCell ref="B14:D14"/>
    <mergeCell ref="E14:G14"/>
    <mergeCell ref="B15:D15"/>
    <mergeCell ref="E15:G15"/>
    <mergeCell ref="B16:D16"/>
    <mergeCell ref="E16:G16"/>
    <mergeCell ref="B17:D17"/>
    <mergeCell ref="E17:G17"/>
    <mergeCell ref="B18:D18"/>
    <mergeCell ref="E18:G18"/>
    <mergeCell ref="B19:D19"/>
    <mergeCell ref="E19:G19"/>
    <mergeCell ref="E29:G29"/>
    <mergeCell ref="E31:G31"/>
    <mergeCell ref="E32:G32"/>
    <mergeCell ref="A35:H36"/>
    <mergeCell ref="B20:D20"/>
    <mergeCell ref="E20:G20"/>
    <mergeCell ref="B21:D21"/>
    <mergeCell ref="E21:G21"/>
    <mergeCell ref="A24:D28"/>
    <mergeCell ref="E24:G24"/>
    <mergeCell ref="E25:G25"/>
    <mergeCell ref="E26:G26"/>
    <mergeCell ref="E27:G27"/>
  </mergeCells>
  <printOptions horizontalCentered="1"/>
  <pageMargins left="0.3" right="0.3" top="0.35" bottom="0.35" header="0.15" footer="0.15"/>
  <pageSetup fitToHeight="0"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118"/>
  <sheetViews>
    <sheetView showGridLines="0" tabSelected="1" workbookViewId="0">
      <selection sqref="A1:G2"/>
    </sheetView>
  </sheetViews>
  <sheetFormatPr defaultRowHeight="13.8"/>
  <cols>
    <col min="1" max="1" width="7" customWidth="1"/>
    <col min="2" max="2" width="25" customWidth="1"/>
    <col min="3" max="7" width="12" customWidth="1"/>
  </cols>
  <sheetData>
    <row r="1" spans="1:7">
      <c r="A1" s="80" t="s">
        <v>247</v>
      </c>
      <c r="B1" s="80"/>
      <c r="C1" s="80"/>
      <c r="D1" s="80"/>
      <c r="E1" s="80"/>
      <c r="F1" s="80"/>
      <c r="G1" s="80"/>
    </row>
    <row r="2" spans="1:7">
      <c r="A2" s="80"/>
      <c r="B2" s="80"/>
      <c r="C2" s="80"/>
      <c r="D2" s="80"/>
      <c r="E2" s="80"/>
      <c r="F2" s="80"/>
      <c r="G2" s="80"/>
    </row>
    <row r="3" spans="1:7">
      <c r="A3" s="81" t="str">
        <f>IF('Project Setup'!B22="","Invoice Detail","Invoice "&amp;'Project Setup'!B22&amp;TEXT('Project Setup'!B21,"00"))&amp;IF('Project Setup'!B14="",""," | "&amp;'Project Setup'!B14)&amp;IF('Project Setup'!B23="",""," | Through "&amp;TEXT('Project Setup'!B23,"m/d/yyyy"))</f>
        <v>Invoice Detail</v>
      </c>
      <c r="B3" s="81"/>
      <c r="C3" s="81"/>
      <c r="D3" s="81"/>
      <c r="E3" s="81"/>
      <c r="F3" s="81"/>
      <c r="G3" s="81"/>
    </row>
    <row r="4" spans="1:7">
      <c r="A4" s="41"/>
      <c r="B4" s="41"/>
      <c r="C4" s="41"/>
      <c r="D4" s="41"/>
      <c r="E4" s="41"/>
      <c r="F4" s="41"/>
      <c r="G4" s="41"/>
    </row>
    <row r="5" spans="1:7" ht="21" customHeight="1">
      <c r="A5" s="42" t="s">
        <v>54</v>
      </c>
      <c r="B5" s="42" t="s">
        <v>248</v>
      </c>
      <c r="C5" s="42" t="s">
        <v>249</v>
      </c>
      <c r="D5" s="42" t="s">
        <v>250</v>
      </c>
      <c r="E5" s="42" t="s">
        <v>251</v>
      </c>
      <c r="F5" s="42" t="s">
        <v>67</v>
      </c>
      <c r="G5" s="42" t="s">
        <v>252</v>
      </c>
    </row>
    <row r="6" spans="1:7" ht="10.5" customHeight="1">
      <c r="A6" s="43">
        <f>'COST RECONCILIATION'!A6</f>
        <v>1010</v>
      </c>
      <c r="B6" s="43" t="str">
        <f>'COST RECONCILIATION'!B6</f>
        <v>Plan / Site Plans</v>
      </c>
      <c r="C6" s="44">
        <f>'COST RECONCILIATION'!C6</f>
        <v>0</v>
      </c>
      <c r="D6" s="44">
        <f>'COST RECONCILIATION'!D6</f>
        <v>0</v>
      </c>
      <c r="E6" s="44">
        <f>'COST RECONCILIATION'!E6</f>
        <v>0</v>
      </c>
      <c r="F6" s="44">
        <f>'COST RECONCILIATION'!F6</f>
        <v>0</v>
      </c>
      <c r="G6" s="44">
        <f>'COST RECONCILIATION'!G6</f>
        <v>0</v>
      </c>
    </row>
    <row r="7" spans="1:7" ht="10.5" customHeight="1">
      <c r="A7" s="43">
        <f>'COST RECONCILIATION'!A7</f>
        <v>1011</v>
      </c>
      <c r="B7" s="43" t="str">
        <f>'COST RECONCILIATION'!B7</f>
        <v>Permits/Fees/Water/Sewer</v>
      </c>
      <c r="C7" s="44">
        <f>'COST RECONCILIATION'!C7</f>
        <v>0</v>
      </c>
      <c r="D7" s="44">
        <f>'COST RECONCILIATION'!D7</f>
        <v>0</v>
      </c>
      <c r="E7" s="44">
        <f>'COST RECONCILIATION'!E7</f>
        <v>0</v>
      </c>
      <c r="F7" s="44">
        <f>'COST RECONCILIATION'!F7</f>
        <v>0</v>
      </c>
      <c r="G7" s="44">
        <f>'COST RECONCILIATION'!G7</f>
        <v>0</v>
      </c>
    </row>
    <row r="8" spans="1:7" ht="10.5" customHeight="1">
      <c r="A8" s="43">
        <f>'COST RECONCILIATION'!A8</f>
        <v>1020</v>
      </c>
      <c r="B8" s="43" t="str">
        <f>'COST RECONCILIATION'!B8</f>
        <v>Surveys</v>
      </c>
      <c r="C8" s="44">
        <f>'COST RECONCILIATION'!C8</f>
        <v>0</v>
      </c>
      <c r="D8" s="44">
        <f>'COST RECONCILIATION'!D8</f>
        <v>0</v>
      </c>
      <c r="E8" s="44">
        <f>'COST RECONCILIATION'!E8</f>
        <v>0</v>
      </c>
      <c r="F8" s="44">
        <f>'COST RECONCILIATION'!F8</f>
        <v>0</v>
      </c>
      <c r="G8" s="44">
        <f>'COST RECONCILIATION'!G8</f>
        <v>0</v>
      </c>
    </row>
    <row r="9" spans="1:7" ht="10.5" customHeight="1">
      <c r="A9" s="43">
        <f>'COST RECONCILIATION'!A9</f>
        <v>1070</v>
      </c>
      <c r="B9" s="43" t="str">
        <f>'COST RECONCILIATION'!B9</f>
        <v>Builders Risk Insurance</v>
      </c>
      <c r="C9" s="44">
        <f>'COST RECONCILIATION'!C9</f>
        <v>0</v>
      </c>
      <c r="D9" s="44">
        <f>'COST RECONCILIATION'!D9</f>
        <v>0</v>
      </c>
      <c r="E9" s="44">
        <f>'COST RECONCILIATION'!E9</f>
        <v>0</v>
      </c>
      <c r="F9" s="44">
        <f>'COST RECONCILIATION'!F9</f>
        <v>0</v>
      </c>
      <c r="G9" s="44">
        <f>'COST RECONCILIATION'!G9</f>
        <v>0</v>
      </c>
    </row>
    <row r="10" spans="1:7" ht="10.5" customHeight="1">
      <c r="A10" s="43">
        <f>'COST RECONCILIATION'!A10</f>
        <v>1080</v>
      </c>
      <c r="B10" s="43" t="str">
        <f>'COST RECONCILIATION'!B10</f>
        <v>Reinspection Fees</v>
      </c>
      <c r="C10" s="44">
        <f>'COST RECONCILIATION'!C10</f>
        <v>0</v>
      </c>
      <c r="D10" s="44">
        <f>'COST RECONCILIATION'!D10</f>
        <v>0</v>
      </c>
      <c r="E10" s="44">
        <f>'COST RECONCILIATION'!E10</f>
        <v>0</v>
      </c>
      <c r="F10" s="44">
        <f>'COST RECONCILIATION'!F10</f>
        <v>0</v>
      </c>
      <c r="G10" s="44">
        <f>'COST RECONCILIATION'!G10</f>
        <v>0</v>
      </c>
    </row>
    <row r="11" spans="1:7" ht="10.5" customHeight="1">
      <c r="A11" s="43">
        <f>'COST RECONCILIATION'!A11</f>
        <v>2010</v>
      </c>
      <c r="B11" s="43" t="str">
        <f>'COST RECONCILIATION'!B11</f>
        <v>Grading - Clear Lot</v>
      </c>
      <c r="C11" s="44">
        <f>'COST RECONCILIATION'!C11</f>
        <v>0</v>
      </c>
      <c r="D11" s="44">
        <f>'COST RECONCILIATION'!D11</f>
        <v>0</v>
      </c>
      <c r="E11" s="44">
        <f>'COST RECONCILIATION'!E11</f>
        <v>0</v>
      </c>
      <c r="F11" s="44">
        <f>'COST RECONCILIATION'!F11</f>
        <v>0</v>
      </c>
      <c r="G11" s="44">
        <f>'COST RECONCILIATION'!G11</f>
        <v>0</v>
      </c>
    </row>
    <row r="12" spans="1:7" ht="10.5" customHeight="1">
      <c r="A12" s="43">
        <f>'COST RECONCILIATION'!A12</f>
        <v>2011</v>
      </c>
      <c r="B12" s="43" t="str">
        <f>'COST RECONCILIATION'!B12</f>
        <v>Grading - Haul Debris</v>
      </c>
      <c r="C12" s="44">
        <f>'COST RECONCILIATION'!C12</f>
        <v>0</v>
      </c>
      <c r="D12" s="44">
        <f>'COST RECONCILIATION'!D12</f>
        <v>0</v>
      </c>
      <c r="E12" s="44">
        <f>'COST RECONCILIATION'!E12</f>
        <v>0</v>
      </c>
      <c r="F12" s="44">
        <f>'COST RECONCILIATION'!F12</f>
        <v>0</v>
      </c>
      <c r="G12" s="44">
        <f>'COST RECONCILIATION'!G12</f>
        <v>0</v>
      </c>
    </row>
    <row r="13" spans="1:7" ht="10.5" customHeight="1">
      <c r="A13" s="43">
        <f>'COST RECONCILIATION'!A13</f>
        <v>2012</v>
      </c>
      <c r="B13" s="43" t="str">
        <f>'COST RECONCILIATION'!B13</f>
        <v>Grading - Cut Foundation</v>
      </c>
      <c r="C13" s="44">
        <f>'COST RECONCILIATION'!C13</f>
        <v>0</v>
      </c>
      <c r="D13" s="44">
        <f>'COST RECONCILIATION'!D13</f>
        <v>0</v>
      </c>
      <c r="E13" s="44">
        <f>'COST RECONCILIATION'!E13</f>
        <v>0</v>
      </c>
      <c r="F13" s="44">
        <f>'COST RECONCILIATION'!F13</f>
        <v>0</v>
      </c>
      <c r="G13" s="44">
        <f>'COST RECONCILIATION'!G13</f>
        <v>0</v>
      </c>
    </row>
    <row r="14" spans="1:7" ht="10.5" customHeight="1">
      <c r="A14" s="43">
        <f>'COST RECONCILIATION'!A14</f>
        <v>2013</v>
      </c>
      <c r="B14" s="43" t="str">
        <f>'COST RECONCILIATION'!B14</f>
        <v>Grading - Backfill Found</v>
      </c>
      <c r="C14" s="44">
        <f>'COST RECONCILIATION'!C14</f>
        <v>0</v>
      </c>
      <c r="D14" s="44">
        <f>'COST RECONCILIATION'!D14</f>
        <v>0</v>
      </c>
      <c r="E14" s="44">
        <f>'COST RECONCILIATION'!E14</f>
        <v>0</v>
      </c>
      <c r="F14" s="44">
        <f>'COST RECONCILIATION'!F14</f>
        <v>0</v>
      </c>
      <c r="G14" s="44">
        <f>'COST RECONCILIATION'!G14</f>
        <v>0</v>
      </c>
    </row>
    <row r="15" spans="1:7" ht="10.5" customHeight="1">
      <c r="A15" s="43">
        <f>'COST RECONCILIATION'!A15</f>
        <v>2014</v>
      </c>
      <c r="B15" s="43" t="str">
        <f>'COST RECONCILIATION'!B15</f>
        <v>Grading - Cut Drive</v>
      </c>
      <c r="C15" s="44">
        <f>'COST RECONCILIATION'!C15</f>
        <v>0</v>
      </c>
      <c r="D15" s="44">
        <f>'COST RECONCILIATION'!D15</f>
        <v>0</v>
      </c>
      <c r="E15" s="44">
        <f>'COST RECONCILIATION'!E15</f>
        <v>0</v>
      </c>
      <c r="F15" s="44">
        <f>'COST RECONCILIATION'!F15</f>
        <v>0</v>
      </c>
      <c r="G15" s="44">
        <f>'COST RECONCILIATION'!G15</f>
        <v>0</v>
      </c>
    </row>
    <row r="16" spans="1:7" ht="10.5" customHeight="1">
      <c r="A16" s="43">
        <f>'COST RECONCILIATION'!A16</f>
        <v>2015</v>
      </c>
      <c r="B16" s="43" t="str">
        <f>'COST RECONCILIATION'!B16</f>
        <v>Grading - Final</v>
      </c>
      <c r="C16" s="44">
        <f>'COST RECONCILIATION'!C16</f>
        <v>0</v>
      </c>
      <c r="D16" s="44">
        <f>'COST RECONCILIATION'!D16</f>
        <v>0</v>
      </c>
      <c r="E16" s="44">
        <f>'COST RECONCILIATION'!E16</f>
        <v>0</v>
      </c>
      <c r="F16" s="44">
        <f>'COST RECONCILIATION'!F16</f>
        <v>0</v>
      </c>
      <c r="G16" s="44">
        <f>'COST RECONCILIATION'!G16</f>
        <v>0</v>
      </c>
    </row>
    <row r="17" spans="1:7" ht="10.5" customHeight="1">
      <c r="A17" s="43">
        <f>'COST RECONCILIATION'!A17</f>
        <v>2016</v>
      </c>
      <c r="B17" s="43" t="str">
        <f>'COST RECONCILIATION'!B17</f>
        <v>Grading - Misc</v>
      </c>
      <c r="C17" s="44">
        <f>'COST RECONCILIATION'!C17</f>
        <v>0</v>
      </c>
      <c r="D17" s="44">
        <f>'COST RECONCILIATION'!D17</f>
        <v>0</v>
      </c>
      <c r="E17" s="44">
        <f>'COST RECONCILIATION'!E17</f>
        <v>0</v>
      </c>
      <c r="F17" s="44">
        <f>'COST RECONCILIATION'!F17</f>
        <v>0</v>
      </c>
      <c r="G17" s="44">
        <f>'COST RECONCILIATION'!G17</f>
        <v>0</v>
      </c>
    </row>
    <row r="18" spans="1:7" ht="10.5" customHeight="1">
      <c r="A18" s="43">
        <f>'COST RECONCILIATION'!A18</f>
        <v>2021</v>
      </c>
      <c r="B18" s="43" t="str">
        <f>'COST RECONCILIATION'!B18</f>
        <v>Retaining Walls - Sub</v>
      </c>
      <c r="C18" s="44">
        <f>'COST RECONCILIATION'!C18</f>
        <v>0</v>
      </c>
      <c r="D18" s="44">
        <f>'COST RECONCILIATION'!D18</f>
        <v>0</v>
      </c>
      <c r="E18" s="44">
        <f>'COST RECONCILIATION'!E18</f>
        <v>0</v>
      </c>
      <c r="F18" s="44">
        <f>'COST RECONCILIATION'!F18</f>
        <v>0</v>
      </c>
      <c r="G18" s="44">
        <f>'COST RECONCILIATION'!G18</f>
        <v>0</v>
      </c>
    </row>
    <row r="19" spans="1:7" ht="10.5" customHeight="1">
      <c r="A19" s="43">
        <f>'COST RECONCILIATION'!A19</f>
        <v>2030</v>
      </c>
      <c r="B19" s="43" t="str">
        <f>'COST RECONCILIATION'!B19</f>
        <v>Erosion Control</v>
      </c>
      <c r="C19" s="44">
        <f>'COST RECONCILIATION'!C19</f>
        <v>0</v>
      </c>
      <c r="D19" s="44">
        <f>'COST RECONCILIATION'!D19</f>
        <v>0</v>
      </c>
      <c r="E19" s="44">
        <f>'COST RECONCILIATION'!E19</f>
        <v>0</v>
      </c>
      <c r="F19" s="44">
        <f>'COST RECONCILIATION'!F19</f>
        <v>0</v>
      </c>
      <c r="G19" s="44">
        <f>'COST RECONCILIATION'!G19</f>
        <v>0</v>
      </c>
    </row>
    <row r="20" spans="1:7" ht="10.5" customHeight="1">
      <c r="A20" s="43">
        <f>'COST RECONCILIATION'!A20</f>
        <v>2031</v>
      </c>
      <c r="B20" s="43" t="str">
        <f>'COST RECONCILIATION'!B20</f>
        <v>Gravel</v>
      </c>
      <c r="C20" s="44">
        <f>'COST RECONCILIATION'!C20</f>
        <v>0</v>
      </c>
      <c r="D20" s="44">
        <f>'COST RECONCILIATION'!D20</f>
        <v>0</v>
      </c>
      <c r="E20" s="44">
        <f>'COST RECONCILIATION'!E20</f>
        <v>0</v>
      </c>
      <c r="F20" s="44">
        <f>'COST RECONCILIATION'!F20</f>
        <v>0</v>
      </c>
      <c r="G20" s="44">
        <f>'COST RECONCILIATION'!G20</f>
        <v>0</v>
      </c>
    </row>
    <row r="21" spans="1:7" ht="10.5" customHeight="1">
      <c r="A21" s="43">
        <f>'COST RECONCILIATION'!A21</f>
        <v>3005</v>
      </c>
      <c r="B21" s="43" t="str">
        <f>'COST RECONCILIATION'!B21</f>
        <v>Pump Concrete</v>
      </c>
      <c r="C21" s="44">
        <f>'COST RECONCILIATION'!C21</f>
        <v>0</v>
      </c>
      <c r="D21" s="44">
        <f>'COST RECONCILIATION'!D21</f>
        <v>0</v>
      </c>
      <c r="E21" s="44">
        <f>'COST RECONCILIATION'!E21</f>
        <v>0</v>
      </c>
      <c r="F21" s="44">
        <f>'COST RECONCILIATION'!F21</f>
        <v>0</v>
      </c>
      <c r="G21" s="44">
        <f>'COST RECONCILIATION'!G21</f>
        <v>0</v>
      </c>
    </row>
    <row r="22" spans="1:7" ht="10.5" customHeight="1">
      <c r="A22" s="43">
        <f>'COST RECONCILIATION'!A22</f>
        <v>3010</v>
      </c>
      <c r="B22" s="43" t="str">
        <f>'COST RECONCILIATION'!B22</f>
        <v>Footing - Material</v>
      </c>
      <c r="C22" s="44">
        <f>'COST RECONCILIATION'!C22</f>
        <v>0</v>
      </c>
      <c r="D22" s="44">
        <f>'COST RECONCILIATION'!D22</f>
        <v>0</v>
      </c>
      <c r="E22" s="44">
        <f>'COST RECONCILIATION'!E22</f>
        <v>0</v>
      </c>
      <c r="F22" s="44">
        <f>'COST RECONCILIATION'!F22</f>
        <v>0</v>
      </c>
      <c r="G22" s="44">
        <f>'COST RECONCILIATION'!G22</f>
        <v>0</v>
      </c>
    </row>
    <row r="23" spans="1:7" ht="10.5" customHeight="1">
      <c r="A23" s="43">
        <f>'COST RECONCILIATION'!A23</f>
        <v>3011</v>
      </c>
      <c r="B23" s="43" t="str">
        <f>'COST RECONCILIATION'!B23</f>
        <v>Footing - Sub</v>
      </c>
      <c r="C23" s="44">
        <f>'COST RECONCILIATION'!C23</f>
        <v>0</v>
      </c>
      <c r="D23" s="44">
        <f>'COST RECONCILIATION'!D23</f>
        <v>0</v>
      </c>
      <c r="E23" s="44">
        <f>'COST RECONCILIATION'!E23</f>
        <v>0</v>
      </c>
      <c r="F23" s="44">
        <f>'COST RECONCILIATION'!F23</f>
        <v>0</v>
      </c>
      <c r="G23" s="44">
        <f>'COST RECONCILIATION'!G23</f>
        <v>0</v>
      </c>
    </row>
    <row r="24" spans="1:7" ht="10.5" customHeight="1">
      <c r="A24" s="43">
        <f>'COST RECONCILIATION'!A24</f>
        <v>3020</v>
      </c>
      <c r="B24" s="43" t="str">
        <f>'COST RECONCILIATION'!B24</f>
        <v>Block - Materials</v>
      </c>
      <c r="C24" s="44">
        <f>'COST RECONCILIATION'!C24</f>
        <v>0</v>
      </c>
      <c r="D24" s="44">
        <f>'COST RECONCILIATION'!D24</f>
        <v>0</v>
      </c>
      <c r="E24" s="44">
        <f>'COST RECONCILIATION'!E24</f>
        <v>0</v>
      </c>
      <c r="F24" s="44">
        <f>'COST RECONCILIATION'!F24</f>
        <v>0</v>
      </c>
      <c r="G24" s="44">
        <f>'COST RECONCILIATION'!G24</f>
        <v>0</v>
      </c>
    </row>
    <row r="25" spans="1:7" ht="10.5" customHeight="1">
      <c r="A25" s="43">
        <f>'COST RECONCILIATION'!A25</f>
        <v>3021</v>
      </c>
      <c r="B25" s="43" t="str">
        <f>'COST RECONCILIATION'!B25</f>
        <v>Block - Sub</v>
      </c>
      <c r="C25" s="44">
        <f>'COST RECONCILIATION'!C25</f>
        <v>0</v>
      </c>
      <c r="D25" s="44">
        <f>'COST RECONCILIATION'!D25</f>
        <v>0</v>
      </c>
      <c r="E25" s="44">
        <f>'COST RECONCILIATION'!E25</f>
        <v>0</v>
      </c>
      <c r="F25" s="44">
        <f>'COST RECONCILIATION'!F25</f>
        <v>0</v>
      </c>
      <c r="G25" s="44">
        <f>'COST RECONCILIATION'!G25</f>
        <v>0</v>
      </c>
    </row>
    <row r="26" spans="1:7" ht="10.5" customHeight="1">
      <c r="A26" s="43">
        <f>'COST RECONCILIATION'!A26</f>
        <v>3031</v>
      </c>
      <c r="B26" s="43" t="str">
        <f>'COST RECONCILIATION'!B26</f>
        <v>Slab - Sub</v>
      </c>
      <c r="C26" s="44">
        <f>'COST RECONCILIATION'!C26</f>
        <v>0</v>
      </c>
      <c r="D26" s="44">
        <f>'COST RECONCILIATION'!D26</f>
        <v>0</v>
      </c>
      <c r="E26" s="44">
        <f>'COST RECONCILIATION'!E26</f>
        <v>0</v>
      </c>
      <c r="F26" s="44">
        <f>'COST RECONCILIATION'!F26</f>
        <v>0</v>
      </c>
      <c r="G26" s="44">
        <f>'COST RECONCILIATION'!G26</f>
        <v>0</v>
      </c>
    </row>
    <row r="27" spans="1:7" ht="10.5" customHeight="1">
      <c r="A27" s="43">
        <f>'COST RECONCILIATION'!A27</f>
        <v>3050</v>
      </c>
      <c r="B27" s="43" t="str">
        <f>'COST RECONCILIATION'!B27</f>
        <v>Foundation Wall - Material</v>
      </c>
      <c r="C27" s="44">
        <f>'COST RECONCILIATION'!C27</f>
        <v>0</v>
      </c>
      <c r="D27" s="44">
        <f>'COST RECONCILIATION'!D27</f>
        <v>0</v>
      </c>
      <c r="E27" s="44">
        <f>'COST RECONCILIATION'!E27</f>
        <v>0</v>
      </c>
      <c r="F27" s="44">
        <f>'COST RECONCILIATION'!F27</f>
        <v>0</v>
      </c>
      <c r="G27" s="44">
        <f>'COST RECONCILIATION'!G27</f>
        <v>0</v>
      </c>
    </row>
    <row r="28" spans="1:7" ht="10.5" customHeight="1">
      <c r="A28" s="43">
        <f>'COST RECONCILIATION'!A28</f>
        <v>3051</v>
      </c>
      <c r="B28" s="43" t="str">
        <f>'COST RECONCILIATION'!B28</f>
        <v>Foundation Wall - Sub</v>
      </c>
      <c r="C28" s="44">
        <f>'COST RECONCILIATION'!C28</f>
        <v>0</v>
      </c>
      <c r="D28" s="44">
        <f>'COST RECONCILIATION'!D28</f>
        <v>0</v>
      </c>
      <c r="E28" s="44">
        <f>'COST RECONCILIATION'!E28</f>
        <v>0</v>
      </c>
      <c r="F28" s="44">
        <f>'COST RECONCILIATION'!F28</f>
        <v>0</v>
      </c>
      <c r="G28" s="44">
        <f>'COST RECONCILIATION'!G28</f>
        <v>0</v>
      </c>
    </row>
    <row r="29" spans="1:7" ht="10.5" customHeight="1">
      <c r="A29" s="43">
        <f>'COST RECONCILIATION'!A29</f>
        <v>3070</v>
      </c>
      <c r="B29" s="43" t="str">
        <f>'COST RECONCILIATION'!B29</f>
        <v>Termite Treat Soil</v>
      </c>
      <c r="C29" s="44">
        <f>'COST RECONCILIATION'!C29</f>
        <v>0</v>
      </c>
      <c r="D29" s="44">
        <f>'COST RECONCILIATION'!D29</f>
        <v>0</v>
      </c>
      <c r="E29" s="44">
        <f>'COST RECONCILIATION'!E29</f>
        <v>0</v>
      </c>
      <c r="F29" s="44">
        <f>'COST RECONCILIATION'!F29</f>
        <v>0</v>
      </c>
      <c r="G29" s="44">
        <f>'COST RECONCILIATION'!G29</f>
        <v>0</v>
      </c>
    </row>
    <row r="30" spans="1:7" ht="10.5" customHeight="1">
      <c r="A30" s="43">
        <f>'COST RECONCILIATION'!A30</f>
        <v>3080</v>
      </c>
      <c r="B30" s="43" t="str">
        <f>'COST RECONCILIATION'!B30</f>
        <v>Waterproof Foundation</v>
      </c>
      <c r="C30" s="44">
        <f>'COST RECONCILIATION'!C30</f>
        <v>0</v>
      </c>
      <c r="D30" s="44">
        <f>'COST RECONCILIATION'!D30</f>
        <v>0</v>
      </c>
      <c r="E30" s="44">
        <f>'COST RECONCILIATION'!E30</f>
        <v>0</v>
      </c>
      <c r="F30" s="44">
        <f>'COST RECONCILIATION'!F30</f>
        <v>0</v>
      </c>
      <c r="G30" s="44">
        <f>'COST RECONCILIATION'!G30</f>
        <v>0</v>
      </c>
    </row>
    <row r="31" spans="1:7" ht="10.5" customHeight="1">
      <c r="A31" s="43">
        <f>'COST RECONCILIATION'!A31</f>
        <v>3090</v>
      </c>
      <c r="B31" s="43" t="str">
        <f>'COST RECONCILIATION'!B31</f>
        <v>Engineering</v>
      </c>
      <c r="C31" s="44">
        <f>'COST RECONCILIATION'!C31</f>
        <v>0</v>
      </c>
      <c r="D31" s="44">
        <f>'COST RECONCILIATION'!D31</f>
        <v>0</v>
      </c>
      <c r="E31" s="44">
        <f>'COST RECONCILIATION'!E31</f>
        <v>0</v>
      </c>
      <c r="F31" s="44">
        <f>'COST RECONCILIATION'!F31</f>
        <v>0</v>
      </c>
      <c r="G31" s="44">
        <f>'COST RECONCILIATION'!G31</f>
        <v>0</v>
      </c>
    </row>
    <row r="32" spans="1:7" ht="10.5" customHeight="1">
      <c r="A32" s="43">
        <f>'COST RECONCILIATION'!A32</f>
        <v>3095</v>
      </c>
      <c r="B32" s="43" t="str">
        <f>'COST RECONCILIATION'!B32</f>
        <v>Water Lines - Sub</v>
      </c>
      <c r="C32" s="44">
        <f>'COST RECONCILIATION'!C32</f>
        <v>0</v>
      </c>
      <c r="D32" s="44">
        <f>'COST RECONCILIATION'!D32</f>
        <v>0</v>
      </c>
      <c r="E32" s="44">
        <f>'COST RECONCILIATION'!E32</f>
        <v>0</v>
      </c>
      <c r="F32" s="44">
        <f>'COST RECONCILIATION'!F32</f>
        <v>0</v>
      </c>
      <c r="G32" s="44">
        <f>'COST RECONCILIATION'!G32</f>
        <v>0</v>
      </c>
    </row>
    <row r="33" spans="1:7" ht="10.5" customHeight="1">
      <c r="A33" s="43">
        <f>'COST RECONCILIATION'!A33</f>
        <v>3096</v>
      </c>
      <c r="B33" s="43" t="str">
        <f>'COST RECONCILIATION'!B33</f>
        <v>Sewer Lines - Sub</v>
      </c>
      <c r="C33" s="44">
        <f>'COST RECONCILIATION'!C33</f>
        <v>0</v>
      </c>
      <c r="D33" s="44">
        <f>'COST RECONCILIATION'!D33</f>
        <v>0</v>
      </c>
      <c r="E33" s="44">
        <f>'COST RECONCILIATION'!E33</f>
        <v>0</v>
      </c>
      <c r="F33" s="44">
        <f>'COST RECONCILIATION'!F33</f>
        <v>0</v>
      </c>
      <c r="G33" s="44">
        <f>'COST RECONCILIATION'!G33</f>
        <v>0</v>
      </c>
    </row>
    <row r="34" spans="1:7" ht="10.5" customHeight="1">
      <c r="A34" s="43">
        <f>'COST RECONCILIATION'!A34</f>
        <v>4010</v>
      </c>
      <c r="B34" s="43" t="str">
        <f>'COST RECONCILIATION'!B34</f>
        <v>Brick - Materials</v>
      </c>
      <c r="C34" s="44">
        <f>'COST RECONCILIATION'!C34</f>
        <v>0</v>
      </c>
      <c r="D34" s="44">
        <f>'COST RECONCILIATION'!D34</f>
        <v>0</v>
      </c>
      <c r="E34" s="44">
        <f>'COST RECONCILIATION'!E34</f>
        <v>0</v>
      </c>
      <c r="F34" s="44">
        <f>'COST RECONCILIATION'!F34</f>
        <v>0</v>
      </c>
      <c r="G34" s="44">
        <f>'COST RECONCILIATION'!G34</f>
        <v>0</v>
      </c>
    </row>
    <row r="35" spans="1:7" ht="10.5" customHeight="1">
      <c r="A35" s="43">
        <f>'COST RECONCILIATION'!A35</f>
        <v>4011</v>
      </c>
      <c r="B35" s="43" t="str">
        <f>'COST RECONCILIATION'!B35</f>
        <v>Brick - Sub</v>
      </c>
      <c r="C35" s="44">
        <f>'COST RECONCILIATION'!C35</f>
        <v>0</v>
      </c>
      <c r="D35" s="44">
        <f>'COST RECONCILIATION'!D35</f>
        <v>0</v>
      </c>
      <c r="E35" s="44">
        <f>'COST RECONCILIATION'!E35</f>
        <v>0</v>
      </c>
      <c r="F35" s="44">
        <f>'COST RECONCILIATION'!F35</f>
        <v>0</v>
      </c>
      <c r="G35" s="44">
        <f>'COST RECONCILIATION'!G35</f>
        <v>0</v>
      </c>
    </row>
    <row r="36" spans="1:7" ht="10.5" customHeight="1">
      <c r="A36" s="43">
        <f>'COST RECONCILIATION'!A36</f>
        <v>4020</v>
      </c>
      <c r="B36" s="43" t="str">
        <f>'COST RECONCILIATION'!B36</f>
        <v>Stone - Sub</v>
      </c>
      <c r="C36" s="44">
        <f>'COST RECONCILIATION'!C36</f>
        <v>0</v>
      </c>
      <c r="D36" s="44">
        <f>'COST RECONCILIATION'!D36</f>
        <v>0</v>
      </c>
      <c r="E36" s="44">
        <f>'COST RECONCILIATION'!E36</f>
        <v>0</v>
      </c>
      <c r="F36" s="44">
        <f>'COST RECONCILIATION'!F36</f>
        <v>0</v>
      </c>
      <c r="G36" s="44">
        <f>'COST RECONCILIATION'!G36</f>
        <v>0</v>
      </c>
    </row>
    <row r="37" spans="1:7" ht="10.5" customHeight="1">
      <c r="A37" s="43">
        <f>'COST RECONCILIATION'!A37</f>
        <v>4021</v>
      </c>
      <c r="B37" s="43" t="str">
        <f>'COST RECONCILIATION'!B37</f>
        <v>Stucco - Sub</v>
      </c>
      <c r="C37" s="44">
        <f>'COST RECONCILIATION'!C37</f>
        <v>0</v>
      </c>
      <c r="D37" s="44">
        <f>'COST RECONCILIATION'!D37</f>
        <v>0</v>
      </c>
      <c r="E37" s="44">
        <f>'COST RECONCILIATION'!E37</f>
        <v>0</v>
      </c>
      <c r="F37" s="44">
        <f>'COST RECONCILIATION'!F37</f>
        <v>0</v>
      </c>
      <c r="G37" s="44">
        <f>'COST RECONCILIATION'!G37</f>
        <v>0</v>
      </c>
    </row>
    <row r="38" spans="1:7" ht="10.5" customHeight="1">
      <c r="A38" s="43">
        <f>'COST RECONCILIATION'!A38</f>
        <v>4030</v>
      </c>
      <c r="B38" s="43" t="str">
        <f>'COST RECONCILIATION'!B38</f>
        <v>Framing - Material</v>
      </c>
      <c r="C38" s="44">
        <f>'COST RECONCILIATION'!C38</f>
        <v>0</v>
      </c>
      <c r="D38" s="44">
        <f>'COST RECONCILIATION'!D38</f>
        <v>0</v>
      </c>
      <c r="E38" s="44">
        <f>'COST RECONCILIATION'!E38</f>
        <v>0</v>
      </c>
      <c r="F38" s="44">
        <f>'COST RECONCILIATION'!F38</f>
        <v>0</v>
      </c>
      <c r="G38" s="44">
        <f>'COST RECONCILIATION'!G38</f>
        <v>0</v>
      </c>
    </row>
    <row r="39" spans="1:7" ht="10.5" customHeight="1">
      <c r="A39" s="43">
        <f>'COST RECONCILIATION'!A39</f>
        <v>4031</v>
      </c>
      <c r="B39" s="43" t="str">
        <f>'COST RECONCILIATION'!B39</f>
        <v>Framing - Sub</v>
      </c>
      <c r="C39" s="44">
        <f>'COST RECONCILIATION'!C39</f>
        <v>0</v>
      </c>
      <c r="D39" s="44">
        <f>'COST RECONCILIATION'!D39</f>
        <v>0</v>
      </c>
      <c r="E39" s="44">
        <f>'COST RECONCILIATION'!E39</f>
        <v>0</v>
      </c>
      <c r="F39" s="44">
        <f>'COST RECONCILIATION'!F39</f>
        <v>0</v>
      </c>
      <c r="G39" s="44">
        <f>'COST RECONCILIATION'!G39</f>
        <v>0</v>
      </c>
    </row>
    <row r="40" spans="1:7" ht="10.5" customHeight="1">
      <c r="A40" s="43">
        <f>'COST RECONCILIATION'!A40</f>
        <v>4032</v>
      </c>
      <c r="B40" s="43" t="str">
        <f>'COST RECONCILIATION'!B40</f>
        <v>Floor Screw - Sub</v>
      </c>
      <c r="C40" s="44">
        <f>'COST RECONCILIATION'!C40</f>
        <v>0</v>
      </c>
      <c r="D40" s="44">
        <f>'COST RECONCILIATION'!D40</f>
        <v>0</v>
      </c>
      <c r="E40" s="44">
        <f>'COST RECONCILIATION'!E40</f>
        <v>0</v>
      </c>
      <c r="F40" s="44">
        <f>'COST RECONCILIATION'!F40</f>
        <v>0</v>
      </c>
      <c r="G40" s="44">
        <f>'COST RECONCILIATION'!G40</f>
        <v>0</v>
      </c>
    </row>
    <row r="41" spans="1:7" ht="10.5" customHeight="1">
      <c r="A41" s="43">
        <f>'COST RECONCILIATION'!A41</f>
        <v>4040</v>
      </c>
      <c r="B41" s="43" t="str">
        <f>'COST RECONCILIATION'!B41</f>
        <v>Trusses - Material</v>
      </c>
      <c r="C41" s="44">
        <f>'COST RECONCILIATION'!C41</f>
        <v>0</v>
      </c>
      <c r="D41" s="44">
        <f>'COST RECONCILIATION'!D41</f>
        <v>0</v>
      </c>
      <c r="E41" s="44">
        <f>'COST RECONCILIATION'!E41</f>
        <v>0</v>
      </c>
      <c r="F41" s="44">
        <f>'COST RECONCILIATION'!F41</f>
        <v>0</v>
      </c>
      <c r="G41" s="44">
        <f>'COST RECONCILIATION'!G41</f>
        <v>0</v>
      </c>
    </row>
    <row r="42" spans="1:7" ht="10.5" customHeight="1">
      <c r="A42" s="43">
        <f>'COST RECONCILIATION'!A42</f>
        <v>4041</v>
      </c>
      <c r="B42" s="43" t="str">
        <f>'COST RECONCILIATION'!B42</f>
        <v>Steel Beams</v>
      </c>
      <c r="C42" s="44">
        <f>'COST RECONCILIATION'!C42</f>
        <v>0</v>
      </c>
      <c r="D42" s="44">
        <f>'COST RECONCILIATION'!D42</f>
        <v>0</v>
      </c>
      <c r="E42" s="44">
        <f>'COST RECONCILIATION'!E42</f>
        <v>0</v>
      </c>
      <c r="F42" s="44">
        <f>'COST RECONCILIATION'!F42</f>
        <v>0</v>
      </c>
      <c r="G42" s="44">
        <f>'COST RECONCILIATION'!G42</f>
        <v>0</v>
      </c>
    </row>
    <row r="43" spans="1:7" ht="10.5" customHeight="1">
      <c r="A43" s="43">
        <f>'COST RECONCILIATION'!A43</f>
        <v>4050</v>
      </c>
      <c r="B43" s="43" t="str">
        <f>'COST RECONCILIATION'!B43</f>
        <v>Windows/Ex Doors - Mat</v>
      </c>
      <c r="C43" s="44">
        <f>'COST RECONCILIATION'!C43</f>
        <v>0</v>
      </c>
      <c r="D43" s="44">
        <f>'COST RECONCILIATION'!D43</f>
        <v>0</v>
      </c>
      <c r="E43" s="44">
        <f>'COST RECONCILIATION'!E43</f>
        <v>0</v>
      </c>
      <c r="F43" s="44">
        <f>'COST RECONCILIATION'!F43</f>
        <v>0</v>
      </c>
      <c r="G43" s="44">
        <f>'COST RECONCILIATION'!G43</f>
        <v>0</v>
      </c>
    </row>
    <row r="44" spans="1:7" ht="10.5" customHeight="1">
      <c r="A44" s="43">
        <f>'COST RECONCILIATION'!A44</f>
        <v>4051</v>
      </c>
      <c r="B44" s="43" t="str">
        <f>'COST RECONCILIATION'!B44</f>
        <v>Windows/Ex Doors - Sub</v>
      </c>
      <c r="C44" s="44">
        <f>'COST RECONCILIATION'!C44</f>
        <v>0</v>
      </c>
      <c r="D44" s="44">
        <f>'COST RECONCILIATION'!D44</f>
        <v>0</v>
      </c>
      <c r="E44" s="44">
        <f>'COST RECONCILIATION'!E44</f>
        <v>0</v>
      </c>
      <c r="F44" s="44">
        <f>'COST RECONCILIATION'!F44</f>
        <v>0</v>
      </c>
      <c r="G44" s="44">
        <f>'COST RECONCILIATION'!G44</f>
        <v>0</v>
      </c>
    </row>
    <row r="45" spans="1:7" ht="10.5" customHeight="1">
      <c r="A45" s="43">
        <f>'COST RECONCILIATION'!A45</f>
        <v>4060</v>
      </c>
      <c r="B45" s="43" t="str">
        <f>'COST RECONCILIATION'!B45</f>
        <v>Skylight - Sub</v>
      </c>
      <c r="C45" s="44">
        <f>'COST RECONCILIATION'!C45</f>
        <v>0</v>
      </c>
      <c r="D45" s="44">
        <f>'COST RECONCILIATION'!D45</f>
        <v>0</v>
      </c>
      <c r="E45" s="44">
        <f>'COST RECONCILIATION'!E45</f>
        <v>0</v>
      </c>
      <c r="F45" s="44">
        <f>'COST RECONCILIATION'!F45</f>
        <v>0</v>
      </c>
      <c r="G45" s="44">
        <f>'COST RECONCILIATION'!G45</f>
        <v>0</v>
      </c>
    </row>
    <row r="46" spans="1:7" ht="10.5" customHeight="1">
      <c r="A46" s="43">
        <f>'COST RECONCILIATION'!A46</f>
        <v>4061</v>
      </c>
      <c r="B46" s="43" t="str">
        <f>'COST RECONCILIATION'!B46</f>
        <v>Specialty Glass - Sub</v>
      </c>
      <c r="C46" s="44">
        <f>'COST RECONCILIATION'!C46</f>
        <v>0</v>
      </c>
      <c r="D46" s="44">
        <f>'COST RECONCILIATION'!D46</f>
        <v>0</v>
      </c>
      <c r="E46" s="44">
        <f>'COST RECONCILIATION'!E46</f>
        <v>0</v>
      </c>
      <c r="F46" s="44">
        <f>'COST RECONCILIATION'!F46</f>
        <v>0</v>
      </c>
      <c r="G46" s="44">
        <f>'COST RECONCILIATION'!G46</f>
        <v>0</v>
      </c>
    </row>
    <row r="47" spans="1:7" ht="10.5" customHeight="1">
      <c r="A47" s="43">
        <f>'COST RECONCILIATION'!A47</f>
        <v>4070</v>
      </c>
      <c r="B47" s="43" t="str">
        <f>'COST RECONCILIATION'!B47</f>
        <v>Roofing - Material</v>
      </c>
      <c r="C47" s="44">
        <f>'COST RECONCILIATION'!C47</f>
        <v>0</v>
      </c>
      <c r="D47" s="44">
        <f>'COST RECONCILIATION'!D47</f>
        <v>0</v>
      </c>
      <c r="E47" s="44">
        <f>'COST RECONCILIATION'!E47</f>
        <v>0</v>
      </c>
      <c r="F47" s="44">
        <f>'COST RECONCILIATION'!F47</f>
        <v>0</v>
      </c>
      <c r="G47" s="44">
        <f>'COST RECONCILIATION'!G47</f>
        <v>0</v>
      </c>
    </row>
    <row r="48" spans="1:7" ht="10.5" customHeight="1">
      <c r="A48" s="43">
        <f>'COST RECONCILIATION'!A48</f>
        <v>4071</v>
      </c>
      <c r="B48" s="43" t="str">
        <f>'COST RECONCILIATION'!B48</f>
        <v>Roofing - Sub</v>
      </c>
      <c r="C48" s="44">
        <f>'COST RECONCILIATION'!C48</f>
        <v>0</v>
      </c>
      <c r="D48" s="44">
        <f>'COST RECONCILIATION'!D48</f>
        <v>0</v>
      </c>
      <c r="E48" s="44">
        <f>'COST RECONCILIATION'!E48</f>
        <v>0</v>
      </c>
      <c r="F48" s="44">
        <f>'COST RECONCILIATION'!F48</f>
        <v>0</v>
      </c>
      <c r="G48" s="44">
        <f>'COST RECONCILIATION'!G48</f>
        <v>0</v>
      </c>
    </row>
    <row r="49" spans="1:7" ht="10.5" customHeight="1">
      <c r="A49" s="43">
        <f>'COST RECONCILIATION'!A49</f>
        <v>4080</v>
      </c>
      <c r="B49" s="43" t="str">
        <f>'COST RECONCILIATION'!B49</f>
        <v>Plumbing - Sub</v>
      </c>
      <c r="C49" s="44">
        <f>'COST RECONCILIATION'!C49</f>
        <v>0</v>
      </c>
      <c r="D49" s="44">
        <f>'COST RECONCILIATION'!D49</f>
        <v>0</v>
      </c>
      <c r="E49" s="44">
        <f>'COST RECONCILIATION'!E49</f>
        <v>0</v>
      </c>
      <c r="F49" s="44">
        <f>'COST RECONCILIATION'!F49</f>
        <v>0</v>
      </c>
      <c r="G49" s="44">
        <f>'COST RECONCILIATION'!G49</f>
        <v>0</v>
      </c>
    </row>
    <row r="50" spans="1:7" ht="10.5" customHeight="1">
      <c r="A50" s="43">
        <f>'COST RECONCILIATION'!A50</f>
        <v>4082</v>
      </c>
      <c r="B50" s="43" t="str">
        <f>'COST RECONCILIATION'!B50</f>
        <v>Plumbing - Fixtures</v>
      </c>
      <c r="C50" s="44">
        <f>'COST RECONCILIATION'!C50</f>
        <v>0</v>
      </c>
      <c r="D50" s="44">
        <f>'COST RECONCILIATION'!D50</f>
        <v>0</v>
      </c>
      <c r="E50" s="44">
        <f>'COST RECONCILIATION'!E50</f>
        <v>0</v>
      </c>
      <c r="F50" s="44">
        <f>'COST RECONCILIATION'!F50</f>
        <v>0</v>
      </c>
      <c r="G50" s="44">
        <f>'COST RECONCILIATION'!G50</f>
        <v>0</v>
      </c>
    </row>
    <row r="51" spans="1:7" ht="10.5" customHeight="1">
      <c r="A51" s="43">
        <f>'COST RECONCILIATION'!A51</f>
        <v>4085</v>
      </c>
      <c r="B51" s="43" t="str">
        <f>'COST RECONCILIATION'!B51</f>
        <v>Electrical - Sub</v>
      </c>
      <c r="C51" s="44">
        <f>'COST RECONCILIATION'!C51</f>
        <v>0</v>
      </c>
      <c r="D51" s="44">
        <f>'COST RECONCILIATION'!D51</f>
        <v>0</v>
      </c>
      <c r="E51" s="44">
        <f>'COST RECONCILIATION'!E51</f>
        <v>0</v>
      </c>
      <c r="F51" s="44">
        <f>'COST RECONCILIATION'!F51</f>
        <v>0</v>
      </c>
      <c r="G51" s="44">
        <f>'COST RECONCILIATION'!G51</f>
        <v>0</v>
      </c>
    </row>
    <row r="52" spans="1:7" ht="10.5" customHeight="1">
      <c r="A52" s="43">
        <f>'COST RECONCILIATION'!A52</f>
        <v>4086</v>
      </c>
      <c r="B52" s="43" t="str">
        <f>'COST RECONCILIATION'!B52</f>
        <v>Low Voltage - Sub</v>
      </c>
      <c r="C52" s="44">
        <f>'COST RECONCILIATION'!C52</f>
        <v>0</v>
      </c>
      <c r="D52" s="44">
        <f>'COST RECONCILIATION'!D52</f>
        <v>0</v>
      </c>
      <c r="E52" s="44">
        <f>'COST RECONCILIATION'!E52</f>
        <v>0</v>
      </c>
      <c r="F52" s="44">
        <f>'COST RECONCILIATION'!F52</f>
        <v>0</v>
      </c>
      <c r="G52" s="44">
        <f>'COST RECONCILIATION'!G52</f>
        <v>0</v>
      </c>
    </row>
    <row r="53" spans="1:7" ht="10.5" customHeight="1">
      <c r="A53" s="43">
        <f>'COST RECONCILIATION'!A53</f>
        <v>4090</v>
      </c>
      <c r="B53" s="43" t="str">
        <f>'COST RECONCILIATION'!B53</f>
        <v>HVAC - Sub</v>
      </c>
      <c r="C53" s="44">
        <f>'COST RECONCILIATION'!C53</f>
        <v>0</v>
      </c>
      <c r="D53" s="44">
        <f>'COST RECONCILIATION'!D53</f>
        <v>0</v>
      </c>
      <c r="E53" s="44">
        <f>'COST RECONCILIATION'!E53</f>
        <v>0</v>
      </c>
      <c r="F53" s="44">
        <f>'COST RECONCILIATION'!F53</f>
        <v>0</v>
      </c>
      <c r="G53" s="44">
        <f>'COST RECONCILIATION'!G53</f>
        <v>0</v>
      </c>
    </row>
    <row r="54" spans="1:7" ht="10.5" customHeight="1">
      <c r="A54" s="43">
        <f>'COST RECONCILIATION'!A54</f>
        <v>4100</v>
      </c>
      <c r="B54" s="43" t="str">
        <f>'COST RECONCILIATION'!B54</f>
        <v>Pre-Fab Fireplace - Sub</v>
      </c>
      <c r="C54" s="44">
        <f>'COST RECONCILIATION'!C54</f>
        <v>0</v>
      </c>
      <c r="D54" s="44">
        <f>'COST RECONCILIATION'!D54</f>
        <v>0</v>
      </c>
      <c r="E54" s="44">
        <f>'COST RECONCILIATION'!E54</f>
        <v>0</v>
      </c>
      <c r="F54" s="44">
        <f>'COST RECONCILIATION'!F54</f>
        <v>0</v>
      </c>
      <c r="G54" s="44">
        <f>'COST RECONCILIATION'!G54</f>
        <v>0</v>
      </c>
    </row>
    <row r="55" spans="1:7" ht="10.5" customHeight="1">
      <c r="A55" s="43">
        <f>'COST RECONCILIATION'!A55</f>
        <v>4110</v>
      </c>
      <c r="B55" s="43" t="str">
        <f>'COST RECONCILIATION'!B55</f>
        <v>Trash Removal - Sub</v>
      </c>
      <c r="C55" s="44">
        <f>'COST RECONCILIATION'!C55</f>
        <v>0</v>
      </c>
      <c r="D55" s="44">
        <f>'COST RECONCILIATION'!D55</f>
        <v>0</v>
      </c>
      <c r="E55" s="44">
        <f>'COST RECONCILIATION'!E55</f>
        <v>0</v>
      </c>
      <c r="F55" s="44">
        <f>'COST RECONCILIATION'!F55</f>
        <v>0</v>
      </c>
      <c r="G55" s="44">
        <f>'COST RECONCILIATION'!G55</f>
        <v>0</v>
      </c>
    </row>
    <row r="56" spans="1:7" ht="10.5" customHeight="1">
      <c r="A56" s="43">
        <f>'COST RECONCILIATION'!A56</f>
        <v>4120</v>
      </c>
      <c r="B56" s="43" t="str">
        <f>'COST RECONCILIATION'!B56</f>
        <v>Deck - Materials</v>
      </c>
      <c r="C56" s="44">
        <f>'COST RECONCILIATION'!C56</f>
        <v>0</v>
      </c>
      <c r="D56" s="44">
        <f>'COST RECONCILIATION'!D56</f>
        <v>0</v>
      </c>
      <c r="E56" s="44">
        <f>'COST RECONCILIATION'!E56</f>
        <v>0</v>
      </c>
      <c r="F56" s="44">
        <f>'COST RECONCILIATION'!F56</f>
        <v>0</v>
      </c>
      <c r="G56" s="44">
        <f>'COST RECONCILIATION'!G56</f>
        <v>0</v>
      </c>
    </row>
    <row r="57" spans="1:7" ht="10.5" customHeight="1">
      <c r="A57" s="43">
        <f>'COST RECONCILIATION'!A57</f>
        <v>4121</v>
      </c>
      <c r="B57" s="43" t="str">
        <f>'COST RECONCILIATION'!B57</f>
        <v>Deck - Sub</v>
      </c>
      <c r="C57" s="44">
        <f>'COST RECONCILIATION'!C57</f>
        <v>0</v>
      </c>
      <c r="D57" s="44">
        <f>'COST RECONCILIATION'!D57</f>
        <v>0</v>
      </c>
      <c r="E57" s="44">
        <f>'COST RECONCILIATION'!E57</f>
        <v>0</v>
      </c>
      <c r="F57" s="44">
        <f>'COST RECONCILIATION'!F57</f>
        <v>0</v>
      </c>
      <c r="G57" s="44">
        <f>'COST RECONCILIATION'!G57</f>
        <v>0</v>
      </c>
    </row>
    <row r="58" spans="1:7" ht="10.5" customHeight="1">
      <c r="A58" s="43">
        <f>'COST RECONCILIATION'!A58</f>
        <v>4130</v>
      </c>
      <c r="B58" s="43" t="str">
        <f>'COST RECONCILIATION'!B58</f>
        <v>Front Porch - Mat</v>
      </c>
      <c r="C58" s="44">
        <f>'COST RECONCILIATION'!C58</f>
        <v>0</v>
      </c>
      <c r="D58" s="44">
        <f>'COST RECONCILIATION'!D58</f>
        <v>0</v>
      </c>
      <c r="E58" s="44">
        <f>'COST RECONCILIATION'!E58</f>
        <v>0</v>
      </c>
      <c r="F58" s="44">
        <f>'COST RECONCILIATION'!F58</f>
        <v>0</v>
      </c>
      <c r="G58" s="44">
        <f>'COST RECONCILIATION'!G58</f>
        <v>0</v>
      </c>
    </row>
    <row r="59" spans="1:7" ht="10.5" customHeight="1">
      <c r="A59" s="43">
        <f>'COST RECONCILIATION'!A59</f>
        <v>4131</v>
      </c>
      <c r="B59" s="43" t="str">
        <f>'COST RECONCILIATION'!B59</f>
        <v>Front Porch - Sub</v>
      </c>
      <c r="C59" s="44">
        <f>'COST RECONCILIATION'!C59</f>
        <v>0</v>
      </c>
      <c r="D59" s="44">
        <f>'COST RECONCILIATION'!D59</f>
        <v>0</v>
      </c>
      <c r="E59" s="44">
        <f>'COST RECONCILIATION'!E59</f>
        <v>0</v>
      </c>
      <c r="F59" s="44">
        <f>'COST RECONCILIATION'!F59</f>
        <v>0</v>
      </c>
      <c r="G59" s="44">
        <f>'COST RECONCILIATION'!G59</f>
        <v>0</v>
      </c>
    </row>
    <row r="60" spans="1:7" ht="10.5" customHeight="1">
      <c r="A60" s="43">
        <f>'COST RECONCILIATION'!A60</f>
        <v>4140</v>
      </c>
      <c r="B60" s="43" t="str">
        <f>'COST RECONCILIATION'!B60</f>
        <v>Siding/Cornice - Mat</v>
      </c>
      <c r="C60" s="44">
        <f>'COST RECONCILIATION'!C60</f>
        <v>0</v>
      </c>
      <c r="D60" s="44">
        <f>'COST RECONCILIATION'!D60</f>
        <v>0</v>
      </c>
      <c r="E60" s="44">
        <f>'COST RECONCILIATION'!E60</f>
        <v>0</v>
      </c>
      <c r="F60" s="44">
        <f>'COST RECONCILIATION'!F60</f>
        <v>0</v>
      </c>
      <c r="G60" s="44">
        <f>'COST RECONCILIATION'!G60</f>
        <v>0</v>
      </c>
    </row>
    <row r="61" spans="1:7" ht="10.5" customHeight="1">
      <c r="A61" s="43">
        <f>'COST RECONCILIATION'!A61</f>
        <v>4141</v>
      </c>
      <c r="B61" s="43" t="str">
        <f>'COST RECONCILIATION'!B61</f>
        <v>Siding/Cornice - Sub</v>
      </c>
      <c r="C61" s="44">
        <f>'COST RECONCILIATION'!C61</f>
        <v>0</v>
      </c>
      <c r="D61" s="44">
        <f>'COST RECONCILIATION'!D61</f>
        <v>0</v>
      </c>
      <c r="E61" s="44">
        <f>'COST RECONCILIATION'!E61</f>
        <v>0</v>
      </c>
      <c r="F61" s="44">
        <f>'COST RECONCILIATION'!F61</f>
        <v>0</v>
      </c>
      <c r="G61" s="44">
        <f>'COST RECONCILIATION'!G61</f>
        <v>0</v>
      </c>
    </row>
    <row r="62" spans="1:7" ht="10.5" customHeight="1">
      <c r="A62" s="43">
        <f>'COST RECONCILIATION'!A62</f>
        <v>4145</v>
      </c>
      <c r="B62" s="43" t="str">
        <f>'COST RECONCILIATION'!B62</f>
        <v>Flashing - Sub</v>
      </c>
      <c r="C62" s="44">
        <f>'COST RECONCILIATION'!C62</f>
        <v>0</v>
      </c>
      <c r="D62" s="44">
        <f>'COST RECONCILIATION'!D62</f>
        <v>0</v>
      </c>
      <c r="E62" s="44">
        <f>'COST RECONCILIATION'!E62</f>
        <v>0</v>
      </c>
      <c r="F62" s="44">
        <f>'COST RECONCILIATION'!F62</f>
        <v>0</v>
      </c>
      <c r="G62" s="44">
        <f>'COST RECONCILIATION'!G62</f>
        <v>0</v>
      </c>
    </row>
    <row r="63" spans="1:7" ht="10.5" customHeight="1">
      <c r="A63" s="43">
        <f>'COST RECONCILIATION'!A63</f>
        <v>4150</v>
      </c>
      <c r="B63" s="43" t="str">
        <f>'COST RECONCILIATION'!B63</f>
        <v>Cedar Shingles - Mat</v>
      </c>
      <c r="C63" s="44">
        <f>'COST RECONCILIATION'!C63</f>
        <v>0</v>
      </c>
      <c r="D63" s="44">
        <f>'COST RECONCILIATION'!D63</f>
        <v>0</v>
      </c>
      <c r="E63" s="44">
        <f>'COST RECONCILIATION'!E63</f>
        <v>0</v>
      </c>
      <c r="F63" s="44">
        <f>'COST RECONCILIATION'!F63</f>
        <v>0</v>
      </c>
      <c r="G63" s="44">
        <f>'COST RECONCILIATION'!G63</f>
        <v>0</v>
      </c>
    </row>
    <row r="64" spans="1:7" ht="10.5" customHeight="1">
      <c r="A64" s="43">
        <f>'COST RECONCILIATION'!A64</f>
        <v>4151</v>
      </c>
      <c r="B64" s="43" t="str">
        <f>'COST RECONCILIATION'!B64</f>
        <v>Cedar Shingles - Sub</v>
      </c>
      <c r="C64" s="44">
        <f>'COST RECONCILIATION'!C64</f>
        <v>0</v>
      </c>
      <c r="D64" s="44">
        <f>'COST RECONCILIATION'!D64</f>
        <v>0</v>
      </c>
      <c r="E64" s="44">
        <f>'COST RECONCILIATION'!E64</f>
        <v>0</v>
      </c>
      <c r="F64" s="44">
        <f>'COST RECONCILIATION'!F64</f>
        <v>0</v>
      </c>
      <c r="G64" s="44">
        <f>'COST RECONCILIATION'!G64</f>
        <v>0</v>
      </c>
    </row>
    <row r="65" spans="1:7" ht="10.5" customHeight="1">
      <c r="A65" s="43">
        <f>'COST RECONCILIATION'!A65</f>
        <v>4170</v>
      </c>
      <c r="B65" s="43" t="str">
        <f>'COST RECONCILIATION'!B65</f>
        <v>Shutters</v>
      </c>
      <c r="C65" s="44">
        <f>'COST RECONCILIATION'!C65</f>
        <v>0</v>
      </c>
      <c r="D65" s="44">
        <f>'COST RECONCILIATION'!D65</f>
        <v>0</v>
      </c>
      <c r="E65" s="44">
        <f>'COST RECONCILIATION'!E65</f>
        <v>0</v>
      </c>
      <c r="F65" s="44">
        <f>'COST RECONCILIATION'!F65</f>
        <v>0</v>
      </c>
      <c r="G65" s="44">
        <f>'COST RECONCILIATION'!G65</f>
        <v>0</v>
      </c>
    </row>
    <row r="66" spans="1:7" ht="10.5" customHeight="1">
      <c r="A66" s="43">
        <f>'COST RECONCILIATION'!A66</f>
        <v>4180</v>
      </c>
      <c r="B66" s="43" t="str">
        <f>'COST RECONCILIATION'!B66</f>
        <v>Insulation - Sub</v>
      </c>
      <c r="C66" s="44">
        <f>'COST RECONCILIATION'!C66</f>
        <v>0</v>
      </c>
      <c r="D66" s="44">
        <f>'COST RECONCILIATION'!D66</f>
        <v>0</v>
      </c>
      <c r="E66" s="44">
        <f>'COST RECONCILIATION'!E66</f>
        <v>0</v>
      </c>
      <c r="F66" s="44">
        <f>'COST RECONCILIATION'!F66</f>
        <v>0</v>
      </c>
      <c r="G66" s="44">
        <f>'COST RECONCILIATION'!G66</f>
        <v>0</v>
      </c>
    </row>
    <row r="67" spans="1:7" ht="10.5" customHeight="1">
      <c r="A67" s="43">
        <f>'COST RECONCILIATION'!A67</f>
        <v>4190</v>
      </c>
      <c r="B67" s="43" t="str">
        <f>'COST RECONCILIATION'!B67</f>
        <v>Flower Box - Sub</v>
      </c>
      <c r="C67" s="44">
        <f>'COST RECONCILIATION'!C67</f>
        <v>0</v>
      </c>
      <c r="D67" s="44">
        <f>'COST RECONCILIATION'!D67</f>
        <v>0</v>
      </c>
      <c r="E67" s="44">
        <f>'COST RECONCILIATION'!E67</f>
        <v>0</v>
      </c>
      <c r="F67" s="44">
        <f>'COST RECONCILIATION'!F67</f>
        <v>0</v>
      </c>
      <c r="G67" s="44">
        <f>'COST RECONCILIATION'!G67</f>
        <v>0</v>
      </c>
    </row>
    <row r="68" spans="1:7" ht="10.5" customHeight="1">
      <c r="A68" s="43">
        <f>'COST RECONCILIATION'!A68</f>
        <v>4200</v>
      </c>
      <c r="B68" s="43" t="str">
        <f>'COST RECONCILIATION'!B68</f>
        <v>Housewrap - Sub</v>
      </c>
      <c r="C68" s="44">
        <f>'COST RECONCILIATION'!C68</f>
        <v>0</v>
      </c>
      <c r="D68" s="44">
        <f>'COST RECONCILIATION'!D68</f>
        <v>0</v>
      </c>
      <c r="E68" s="44">
        <f>'COST RECONCILIATION'!E68</f>
        <v>0</v>
      </c>
      <c r="F68" s="44">
        <f>'COST RECONCILIATION'!F68</f>
        <v>0</v>
      </c>
      <c r="G68" s="44">
        <f>'COST RECONCILIATION'!G68</f>
        <v>0</v>
      </c>
    </row>
    <row r="69" spans="1:7" ht="10.5" customHeight="1">
      <c r="A69" s="43">
        <f>'COST RECONCILIATION'!A69</f>
        <v>5010</v>
      </c>
      <c r="B69" s="43" t="str">
        <f>'COST RECONCILIATION'!B69</f>
        <v>Sheetrock - Materials</v>
      </c>
      <c r="C69" s="44">
        <f>'COST RECONCILIATION'!C69</f>
        <v>0</v>
      </c>
      <c r="D69" s="44">
        <f>'COST RECONCILIATION'!D69</f>
        <v>0</v>
      </c>
      <c r="E69" s="44">
        <f>'COST RECONCILIATION'!E69</f>
        <v>0</v>
      </c>
      <c r="F69" s="44">
        <f>'COST RECONCILIATION'!F69</f>
        <v>0</v>
      </c>
      <c r="G69" s="44">
        <f>'COST RECONCILIATION'!G69</f>
        <v>0</v>
      </c>
    </row>
    <row r="70" spans="1:7" ht="10.5" customHeight="1">
      <c r="A70" s="43">
        <f>'COST RECONCILIATION'!A70</f>
        <v>5011</v>
      </c>
      <c r="B70" s="43" t="str">
        <f>'COST RECONCILIATION'!B70</f>
        <v>Sheetrock - Sub ***</v>
      </c>
      <c r="C70" s="44">
        <f>'COST RECONCILIATION'!C70</f>
        <v>0</v>
      </c>
      <c r="D70" s="44">
        <f>'COST RECONCILIATION'!D70</f>
        <v>0</v>
      </c>
      <c r="E70" s="44">
        <f>'COST RECONCILIATION'!E70</f>
        <v>0</v>
      </c>
      <c r="F70" s="44">
        <f>'COST RECONCILIATION'!F70</f>
        <v>0</v>
      </c>
      <c r="G70" s="44">
        <f>'COST RECONCILIATION'!G70</f>
        <v>0</v>
      </c>
    </row>
    <row r="71" spans="1:7" ht="10.5" customHeight="1">
      <c r="A71" s="43">
        <f>'COST RECONCILIATION'!A71</f>
        <v>5020</v>
      </c>
      <c r="B71" s="43" t="str">
        <f>'COST RECONCILIATION'!B71</f>
        <v>Garage Doors - Sub</v>
      </c>
      <c r="C71" s="44">
        <f>'COST RECONCILIATION'!C71</f>
        <v>0</v>
      </c>
      <c r="D71" s="44">
        <f>'COST RECONCILIATION'!D71</f>
        <v>0</v>
      </c>
      <c r="E71" s="44">
        <f>'COST RECONCILIATION'!E71</f>
        <v>0</v>
      </c>
      <c r="F71" s="44">
        <f>'COST RECONCILIATION'!F71</f>
        <v>0</v>
      </c>
      <c r="G71" s="44">
        <f>'COST RECONCILIATION'!G71</f>
        <v>0</v>
      </c>
    </row>
    <row r="72" spans="1:7" ht="10.5" customHeight="1">
      <c r="A72" s="43">
        <f>'COST RECONCILIATION'!A72</f>
        <v>5030</v>
      </c>
      <c r="B72" s="43" t="str">
        <f>'COST RECONCILIATION'!B72</f>
        <v>Drive/Walk/Patio - M</v>
      </c>
      <c r="C72" s="44">
        <f>'COST RECONCILIATION'!C72</f>
        <v>0</v>
      </c>
      <c r="D72" s="44">
        <f>'COST RECONCILIATION'!D72</f>
        <v>0</v>
      </c>
      <c r="E72" s="44">
        <f>'COST RECONCILIATION'!E72</f>
        <v>0</v>
      </c>
      <c r="F72" s="44">
        <f>'COST RECONCILIATION'!F72</f>
        <v>0</v>
      </c>
      <c r="G72" s="44">
        <f>'COST RECONCILIATION'!G72</f>
        <v>0</v>
      </c>
    </row>
    <row r="73" spans="1:7" ht="10.5" customHeight="1">
      <c r="A73" s="43">
        <f>'COST RECONCILIATION'!A73</f>
        <v>5031</v>
      </c>
      <c r="B73" s="43" t="str">
        <f>'COST RECONCILIATION'!B73</f>
        <v>Drive/Walk/Patio - S</v>
      </c>
      <c r="C73" s="44">
        <f>'COST RECONCILIATION'!C73</f>
        <v>0</v>
      </c>
      <c r="D73" s="44">
        <f>'COST RECONCILIATION'!D73</f>
        <v>0</v>
      </c>
      <c r="E73" s="44">
        <f>'COST RECONCILIATION'!E73</f>
        <v>0</v>
      </c>
      <c r="F73" s="44">
        <f>'COST RECONCILIATION'!F73</f>
        <v>0</v>
      </c>
      <c r="G73" s="44">
        <f>'COST RECONCILIATION'!G73</f>
        <v>0</v>
      </c>
    </row>
    <row r="74" spans="1:7" ht="10.5" customHeight="1">
      <c r="A74" s="43">
        <f>'COST RECONCILIATION'!A74</f>
        <v>5035</v>
      </c>
      <c r="B74" s="43" t="str">
        <f>'COST RECONCILIATION'!B74</f>
        <v>Public Walks - Conc</v>
      </c>
      <c r="C74" s="44">
        <f>'COST RECONCILIATION'!C74</f>
        <v>0</v>
      </c>
      <c r="D74" s="44">
        <f>'COST RECONCILIATION'!D74</f>
        <v>0</v>
      </c>
      <c r="E74" s="44">
        <f>'COST RECONCILIATION'!E74</f>
        <v>0</v>
      </c>
      <c r="F74" s="44">
        <f>'COST RECONCILIATION'!F74</f>
        <v>0</v>
      </c>
      <c r="G74" s="44">
        <f>'COST RECONCILIATION'!G74</f>
        <v>0</v>
      </c>
    </row>
    <row r="75" spans="1:7" ht="10.5" customHeight="1">
      <c r="A75" s="43">
        <f>'COST RECONCILIATION'!A75</f>
        <v>5036</v>
      </c>
      <c r="B75" s="43" t="str">
        <f>'COST RECONCILIATION'!B75</f>
        <v>Public Walks - Sub</v>
      </c>
      <c r="C75" s="44">
        <f>'COST RECONCILIATION'!C75</f>
        <v>0</v>
      </c>
      <c r="D75" s="44">
        <f>'COST RECONCILIATION'!D75</f>
        <v>0</v>
      </c>
      <c r="E75" s="44">
        <f>'COST RECONCILIATION'!E75</f>
        <v>0</v>
      </c>
      <c r="F75" s="44">
        <f>'COST RECONCILIATION'!F75</f>
        <v>0</v>
      </c>
      <c r="G75" s="44">
        <f>'COST RECONCILIATION'!G75</f>
        <v>0</v>
      </c>
    </row>
    <row r="76" spans="1:7" ht="10.5" customHeight="1">
      <c r="A76" s="43">
        <f>'COST RECONCILIATION'!A76</f>
        <v>5045</v>
      </c>
      <c r="B76" s="43" t="str">
        <f>'COST RECONCILIATION'!B76</f>
        <v>Lockout - Materials</v>
      </c>
      <c r="C76" s="44">
        <f>'COST RECONCILIATION'!C76</f>
        <v>0</v>
      </c>
      <c r="D76" s="44">
        <f>'COST RECONCILIATION'!D76</f>
        <v>0</v>
      </c>
      <c r="E76" s="44">
        <f>'COST RECONCILIATION'!E76</f>
        <v>0</v>
      </c>
      <c r="F76" s="44">
        <f>'COST RECONCILIATION'!F76</f>
        <v>0</v>
      </c>
      <c r="G76" s="44">
        <f>'COST RECONCILIATION'!G76</f>
        <v>0</v>
      </c>
    </row>
    <row r="77" spans="1:7" ht="10.5" customHeight="1">
      <c r="A77" s="43">
        <f>'COST RECONCILIATION'!A77</f>
        <v>5046</v>
      </c>
      <c r="B77" s="43" t="str">
        <f>'COST RECONCILIATION'!B77</f>
        <v>Lockout - Sub</v>
      </c>
      <c r="C77" s="44">
        <f>'COST RECONCILIATION'!C77</f>
        <v>0</v>
      </c>
      <c r="D77" s="44">
        <f>'COST RECONCILIATION'!D77</f>
        <v>0</v>
      </c>
      <c r="E77" s="44">
        <f>'COST RECONCILIATION'!E77</f>
        <v>0</v>
      </c>
      <c r="F77" s="44">
        <f>'COST RECONCILIATION'!F77</f>
        <v>0</v>
      </c>
      <c r="G77" s="44">
        <f>'COST RECONCILIATION'!G77</f>
        <v>0</v>
      </c>
    </row>
    <row r="78" spans="1:7" ht="10.5" customHeight="1">
      <c r="A78" s="43">
        <f>'COST RECONCILIATION'!A78</f>
        <v>5049</v>
      </c>
      <c r="B78" s="43" t="str">
        <f>'COST RECONCILIATION'!B78</f>
        <v>Trim - Materials</v>
      </c>
      <c r="C78" s="44">
        <f>'COST RECONCILIATION'!C78</f>
        <v>0</v>
      </c>
      <c r="D78" s="44">
        <f>'COST RECONCILIATION'!D78</f>
        <v>0</v>
      </c>
      <c r="E78" s="44">
        <f>'COST RECONCILIATION'!E78</f>
        <v>0</v>
      </c>
      <c r="F78" s="44">
        <f>'COST RECONCILIATION'!F78</f>
        <v>0</v>
      </c>
      <c r="G78" s="44">
        <f>'COST RECONCILIATION'!G78</f>
        <v>0</v>
      </c>
    </row>
    <row r="79" spans="1:7" ht="10.5" customHeight="1">
      <c r="A79" s="43">
        <f>'COST RECONCILIATION'!A79</f>
        <v>5050</v>
      </c>
      <c r="B79" s="43" t="str">
        <f>'COST RECONCILIATION'!B79</f>
        <v>Trim -Int Doors - Mat</v>
      </c>
      <c r="C79" s="44">
        <f>'COST RECONCILIATION'!C79</f>
        <v>0</v>
      </c>
      <c r="D79" s="44">
        <f>'COST RECONCILIATION'!D79</f>
        <v>0</v>
      </c>
      <c r="E79" s="44">
        <f>'COST RECONCILIATION'!E79</f>
        <v>0</v>
      </c>
      <c r="F79" s="44">
        <f>'COST RECONCILIATION'!F79</f>
        <v>0</v>
      </c>
      <c r="G79" s="44">
        <f>'COST RECONCILIATION'!G79</f>
        <v>0</v>
      </c>
    </row>
    <row r="80" spans="1:7" ht="10.5" customHeight="1">
      <c r="A80" s="43">
        <f>'COST RECONCILIATION'!A80</f>
        <v>5051</v>
      </c>
      <c r="B80" s="43" t="str">
        <f>'COST RECONCILIATION'!B80</f>
        <v>Trim - Sub</v>
      </c>
      <c r="C80" s="44">
        <f>'COST RECONCILIATION'!C80</f>
        <v>0</v>
      </c>
      <c r="D80" s="44">
        <f>'COST RECONCILIATION'!D80</f>
        <v>0</v>
      </c>
      <c r="E80" s="44">
        <f>'COST RECONCILIATION'!E80</f>
        <v>0</v>
      </c>
      <c r="F80" s="44">
        <f>'COST RECONCILIATION'!F80</f>
        <v>0</v>
      </c>
      <c r="G80" s="44">
        <f>'COST RECONCILIATION'!G80</f>
        <v>0</v>
      </c>
    </row>
    <row r="81" spans="1:7" ht="10.5" customHeight="1">
      <c r="A81" s="43">
        <f>'COST RECONCILIATION'!A81</f>
        <v>5055</v>
      </c>
      <c r="B81" s="43" t="str">
        <f>'COST RECONCILIATION'!B81</f>
        <v>Stair Parts - Mat</v>
      </c>
      <c r="C81" s="44">
        <f>'COST RECONCILIATION'!C81</f>
        <v>0</v>
      </c>
      <c r="D81" s="44">
        <f>'COST RECONCILIATION'!D81</f>
        <v>0</v>
      </c>
      <c r="E81" s="44">
        <f>'COST RECONCILIATION'!E81</f>
        <v>0</v>
      </c>
      <c r="F81" s="44">
        <f>'COST RECONCILIATION'!F81</f>
        <v>0</v>
      </c>
      <c r="G81" s="44">
        <f>'COST RECONCILIATION'!G81</f>
        <v>0</v>
      </c>
    </row>
    <row r="82" spans="1:7" ht="10.5" customHeight="1">
      <c r="A82" s="43">
        <f>'COST RECONCILIATION'!A82</f>
        <v>5060</v>
      </c>
      <c r="B82" s="43" t="str">
        <f>'COST RECONCILIATION'!B82</f>
        <v>Gutters - Sub</v>
      </c>
      <c r="C82" s="44">
        <f>'COST RECONCILIATION'!C82</f>
        <v>0</v>
      </c>
      <c r="D82" s="44">
        <f>'COST RECONCILIATION'!D82</f>
        <v>0</v>
      </c>
      <c r="E82" s="44">
        <f>'COST RECONCILIATION'!E82</f>
        <v>0</v>
      </c>
      <c r="F82" s="44">
        <f>'COST RECONCILIATION'!F82</f>
        <v>0</v>
      </c>
      <c r="G82" s="44">
        <f>'COST RECONCILIATION'!G82</f>
        <v>0</v>
      </c>
    </row>
    <row r="83" spans="1:7" ht="10.5" customHeight="1">
      <c r="A83" s="43">
        <f>'COST RECONCILIATION'!A83</f>
        <v>5065</v>
      </c>
      <c r="B83" s="43" t="str">
        <f>'COST RECONCILIATION'!B83</f>
        <v>Metal Roof - Sub</v>
      </c>
      <c r="C83" s="44">
        <f>'COST RECONCILIATION'!C83</f>
        <v>0</v>
      </c>
      <c r="D83" s="44">
        <f>'COST RECONCILIATION'!D83</f>
        <v>0</v>
      </c>
      <c r="E83" s="44">
        <f>'COST RECONCILIATION'!E83</f>
        <v>0</v>
      </c>
      <c r="F83" s="44">
        <f>'COST RECONCILIATION'!F83</f>
        <v>0</v>
      </c>
      <c r="G83" s="44">
        <f>'COST RECONCILIATION'!G83</f>
        <v>0</v>
      </c>
    </row>
    <row r="84" spans="1:7" ht="10.5" customHeight="1">
      <c r="A84" s="43">
        <f>'COST RECONCILIATION'!A84</f>
        <v>5070</v>
      </c>
      <c r="B84" s="43" t="str">
        <f>'COST RECONCILIATION'!B84</f>
        <v>Cabinets - Sub</v>
      </c>
      <c r="C84" s="44">
        <f>'COST RECONCILIATION'!C84</f>
        <v>0</v>
      </c>
      <c r="D84" s="44">
        <f>'COST RECONCILIATION'!D84</f>
        <v>0</v>
      </c>
      <c r="E84" s="44">
        <f>'COST RECONCILIATION'!E84</f>
        <v>0</v>
      </c>
      <c r="F84" s="44">
        <f>'COST RECONCILIATION'!F84</f>
        <v>0</v>
      </c>
      <c r="G84" s="44">
        <f>'COST RECONCILIATION'!G84</f>
        <v>0</v>
      </c>
    </row>
    <row r="85" spans="1:7" ht="10.5" customHeight="1">
      <c r="A85" s="43">
        <f>'COST RECONCILIATION'!A85</f>
        <v>5075</v>
      </c>
      <c r="B85" s="43" t="str">
        <f>'COST RECONCILIATION'!B85</f>
        <v>Countertops - Sub</v>
      </c>
      <c r="C85" s="44">
        <f>'COST RECONCILIATION'!C85</f>
        <v>0</v>
      </c>
      <c r="D85" s="44">
        <f>'COST RECONCILIATION'!D85</f>
        <v>0</v>
      </c>
      <c r="E85" s="44">
        <f>'COST RECONCILIATION'!E85</f>
        <v>0</v>
      </c>
      <c r="F85" s="44">
        <f>'COST RECONCILIATION'!F85</f>
        <v>0</v>
      </c>
      <c r="G85" s="44">
        <f>'COST RECONCILIATION'!G85</f>
        <v>0</v>
      </c>
    </row>
    <row r="86" spans="1:7" ht="10.5" customHeight="1">
      <c r="A86" s="43">
        <f>'COST RECONCILIATION'!A86</f>
        <v>5080</v>
      </c>
      <c r="B86" s="43" t="str">
        <f>'COST RECONCILIATION'!B86</f>
        <v>Paint - Sub</v>
      </c>
      <c r="C86" s="44">
        <f>'COST RECONCILIATION'!C86</f>
        <v>0</v>
      </c>
      <c r="D86" s="44">
        <f>'COST RECONCILIATION'!D86</f>
        <v>0</v>
      </c>
      <c r="E86" s="44">
        <f>'COST RECONCILIATION'!E86</f>
        <v>0</v>
      </c>
      <c r="F86" s="44">
        <f>'COST RECONCILIATION'!F86</f>
        <v>0</v>
      </c>
      <c r="G86" s="44">
        <f>'COST RECONCILIATION'!G86</f>
        <v>0</v>
      </c>
    </row>
    <row r="87" spans="1:7" ht="10.5" customHeight="1">
      <c r="A87" s="43">
        <f>'COST RECONCILIATION'!A87</f>
        <v>5090</v>
      </c>
      <c r="B87" s="43" t="str">
        <f>'COST RECONCILIATION'!B87</f>
        <v>Sinks / Tubs</v>
      </c>
      <c r="C87" s="44">
        <f>'COST RECONCILIATION'!C87</f>
        <v>0</v>
      </c>
      <c r="D87" s="44">
        <f>'COST RECONCILIATION'!D87</f>
        <v>0</v>
      </c>
      <c r="E87" s="44">
        <f>'COST RECONCILIATION'!E87</f>
        <v>0</v>
      </c>
      <c r="F87" s="44">
        <f>'COST RECONCILIATION'!F87</f>
        <v>0</v>
      </c>
      <c r="G87" s="44">
        <f>'COST RECONCILIATION'!G87</f>
        <v>0</v>
      </c>
    </row>
    <row r="88" spans="1:7" ht="10.5" customHeight="1">
      <c r="A88" s="43">
        <f>'COST RECONCILIATION'!A88</f>
        <v>5095</v>
      </c>
      <c r="B88" s="43" t="str">
        <f>'COST RECONCILIATION'!B88</f>
        <v>Cultured Marble - Sub</v>
      </c>
      <c r="C88" s="44">
        <f>'COST RECONCILIATION'!C88</f>
        <v>0</v>
      </c>
      <c r="D88" s="44">
        <f>'COST RECONCILIATION'!D88</f>
        <v>0</v>
      </c>
      <c r="E88" s="44">
        <f>'COST RECONCILIATION'!E88</f>
        <v>0</v>
      </c>
      <c r="F88" s="44">
        <f>'COST RECONCILIATION'!F88</f>
        <v>0</v>
      </c>
      <c r="G88" s="44">
        <f>'COST RECONCILIATION'!G88</f>
        <v>0</v>
      </c>
    </row>
    <row r="89" spans="1:7" ht="10.5" customHeight="1">
      <c r="A89" s="43">
        <f>'COST RECONCILIATION'!A89</f>
        <v>5100</v>
      </c>
      <c r="B89" s="43" t="str">
        <f>'COST RECONCILIATION'!B89</f>
        <v>Fireplace Veneer - Mat</v>
      </c>
      <c r="C89" s="44">
        <f>'COST RECONCILIATION'!C89</f>
        <v>0</v>
      </c>
      <c r="D89" s="44">
        <f>'COST RECONCILIATION'!D89</f>
        <v>0</v>
      </c>
      <c r="E89" s="44">
        <f>'COST RECONCILIATION'!E89</f>
        <v>0</v>
      </c>
      <c r="F89" s="44">
        <f>'COST RECONCILIATION'!F89</f>
        <v>0</v>
      </c>
      <c r="G89" s="44">
        <f>'COST RECONCILIATION'!G89</f>
        <v>0</v>
      </c>
    </row>
    <row r="90" spans="1:7" ht="10.5" customHeight="1">
      <c r="A90" s="43">
        <f>'COST RECONCILIATION'!A90</f>
        <v>5101</v>
      </c>
      <c r="B90" s="43" t="str">
        <f>'COST RECONCILIATION'!B90</f>
        <v>Fireplace Veneer - Sub</v>
      </c>
      <c r="C90" s="44">
        <f>'COST RECONCILIATION'!C90</f>
        <v>0</v>
      </c>
      <c r="D90" s="44">
        <f>'COST RECONCILIATION'!D90</f>
        <v>0</v>
      </c>
      <c r="E90" s="44">
        <f>'COST RECONCILIATION'!E90</f>
        <v>0</v>
      </c>
      <c r="F90" s="44">
        <f>'COST RECONCILIATION'!F90</f>
        <v>0</v>
      </c>
      <c r="G90" s="44">
        <f>'COST RECONCILIATION'!G90</f>
        <v>0</v>
      </c>
    </row>
    <row r="91" spans="1:7" ht="10.5" customHeight="1">
      <c r="A91" s="43">
        <f>'COST RECONCILIATION'!A91</f>
        <v>5111</v>
      </c>
      <c r="B91" s="43" t="str">
        <f>'COST RECONCILIATION'!B91</f>
        <v>Ceramic Tile - Sub ***</v>
      </c>
      <c r="C91" s="44">
        <f>'COST RECONCILIATION'!C91</f>
        <v>0</v>
      </c>
      <c r="D91" s="44">
        <f>'COST RECONCILIATION'!D91</f>
        <v>0</v>
      </c>
      <c r="E91" s="44">
        <f>'COST RECONCILIATION'!E91</f>
        <v>0</v>
      </c>
      <c r="F91" s="44">
        <f>'COST RECONCILIATION'!F91</f>
        <v>0</v>
      </c>
      <c r="G91" s="44">
        <f>'COST RECONCILIATION'!G91</f>
        <v>0</v>
      </c>
    </row>
    <row r="92" spans="1:7" ht="10.5" customHeight="1">
      <c r="A92" s="43">
        <f>'COST RECONCILIATION'!A92</f>
        <v>5130</v>
      </c>
      <c r="B92" s="43" t="str">
        <f>'COST RECONCILIATION'!B92</f>
        <v>Hardware/Supplies</v>
      </c>
      <c r="C92" s="44">
        <f>'COST RECONCILIATION'!C92</f>
        <v>0</v>
      </c>
      <c r="D92" s="44">
        <f>'COST RECONCILIATION'!D92</f>
        <v>0</v>
      </c>
      <c r="E92" s="44">
        <f>'COST RECONCILIATION'!E92</f>
        <v>0</v>
      </c>
      <c r="F92" s="44">
        <f>'COST RECONCILIATION'!F92</f>
        <v>0</v>
      </c>
      <c r="G92" s="44">
        <f>'COST RECONCILIATION'!G92</f>
        <v>0</v>
      </c>
    </row>
    <row r="93" spans="1:7" ht="10.5" customHeight="1">
      <c r="A93" s="43">
        <f>'COST RECONCILIATION'!A93</f>
        <v>5140</v>
      </c>
      <c r="B93" s="43" t="str">
        <f>'COST RECONCILIATION'!B93</f>
        <v>Mirrors/Ecl/Shlve - Sub</v>
      </c>
      <c r="C93" s="44">
        <f>'COST RECONCILIATION'!C93</f>
        <v>0</v>
      </c>
      <c r="D93" s="44">
        <f>'COST RECONCILIATION'!D93</f>
        <v>0</v>
      </c>
      <c r="E93" s="44">
        <f>'COST RECONCILIATION'!E93</f>
        <v>0</v>
      </c>
      <c r="F93" s="44">
        <f>'COST RECONCILIATION'!F93</f>
        <v>0</v>
      </c>
      <c r="G93" s="44">
        <f>'COST RECONCILIATION'!G93</f>
        <v>0</v>
      </c>
    </row>
    <row r="94" spans="1:7" ht="10.5" customHeight="1">
      <c r="A94" s="43">
        <f>'COST RECONCILIATION'!A94</f>
        <v>5150</v>
      </c>
      <c r="B94" s="43" t="str">
        <f>'COST RECONCILIATION'!B94</f>
        <v>Light Fixtures</v>
      </c>
      <c r="C94" s="44">
        <f>'COST RECONCILIATION'!C94</f>
        <v>0</v>
      </c>
      <c r="D94" s="44">
        <f>'COST RECONCILIATION'!D94</f>
        <v>0</v>
      </c>
      <c r="E94" s="44">
        <f>'COST RECONCILIATION'!E94</f>
        <v>0</v>
      </c>
      <c r="F94" s="44">
        <f>'COST RECONCILIATION'!F94</f>
        <v>0</v>
      </c>
      <c r="G94" s="44">
        <f>'COST RECONCILIATION'!G94</f>
        <v>0</v>
      </c>
    </row>
    <row r="95" spans="1:7" ht="10.5" customHeight="1">
      <c r="A95" s="43">
        <f>'COST RECONCILIATION'!A95</f>
        <v>5160</v>
      </c>
      <c r="B95" s="43" t="str">
        <f>'COST RECONCILIATION'!B95</f>
        <v>Appliances - Material</v>
      </c>
      <c r="C95" s="44">
        <f>'COST RECONCILIATION'!C95</f>
        <v>0</v>
      </c>
      <c r="D95" s="44">
        <f>'COST RECONCILIATION'!D95</f>
        <v>0</v>
      </c>
      <c r="E95" s="44">
        <f>'COST RECONCILIATION'!E95</f>
        <v>0</v>
      </c>
      <c r="F95" s="44">
        <f>'COST RECONCILIATION'!F95</f>
        <v>0</v>
      </c>
      <c r="G95" s="44">
        <f>'COST RECONCILIATION'!G95</f>
        <v>0</v>
      </c>
    </row>
    <row r="96" spans="1:7" ht="10.5" customHeight="1">
      <c r="A96" s="43">
        <f>'COST RECONCILIATION'!A96</f>
        <v>5170</v>
      </c>
      <c r="B96" s="43" t="str">
        <f>'COST RECONCILIATION'!B96</f>
        <v>Hardwoods - Sub ***</v>
      </c>
      <c r="C96" s="44">
        <f>'COST RECONCILIATION'!C96</f>
        <v>0</v>
      </c>
      <c r="D96" s="44">
        <f>'COST RECONCILIATION'!D96</f>
        <v>0</v>
      </c>
      <c r="E96" s="44">
        <f>'COST RECONCILIATION'!E96</f>
        <v>0</v>
      </c>
      <c r="F96" s="44">
        <f>'COST RECONCILIATION'!F96</f>
        <v>0</v>
      </c>
      <c r="G96" s="44">
        <f>'COST RECONCILIATION'!G96</f>
        <v>0</v>
      </c>
    </row>
    <row r="97" spans="1:7" ht="10.5" customHeight="1">
      <c r="A97" s="43">
        <f>'COST RECONCILIATION'!A97</f>
        <v>5180</v>
      </c>
      <c r="B97" s="43" t="str">
        <f>'COST RECONCILIATION'!B97</f>
        <v>Vinyl Flooring - Sub</v>
      </c>
      <c r="C97" s="44">
        <f>'COST RECONCILIATION'!C97</f>
        <v>0</v>
      </c>
      <c r="D97" s="44">
        <f>'COST RECONCILIATION'!D97</f>
        <v>0</v>
      </c>
      <c r="E97" s="44">
        <f>'COST RECONCILIATION'!E97</f>
        <v>0</v>
      </c>
      <c r="F97" s="44">
        <f>'COST RECONCILIATION'!F97</f>
        <v>0</v>
      </c>
      <c r="G97" s="44">
        <f>'COST RECONCILIATION'!G97</f>
        <v>0</v>
      </c>
    </row>
    <row r="98" spans="1:7" ht="10.5" customHeight="1">
      <c r="A98" s="43">
        <f>'COST RECONCILIATION'!A98</f>
        <v>5190</v>
      </c>
      <c r="B98" s="43" t="str">
        <f>'COST RECONCILIATION'!B98</f>
        <v>Carpet Flooring - Sub</v>
      </c>
      <c r="C98" s="44">
        <f>'COST RECONCILIATION'!C98</f>
        <v>0</v>
      </c>
      <c r="D98" s="44">
        <f>'COST RECONCILIATION'!D98</f>
        <v>0</v>
      </c>
      <c r="E98" s="44">
        <f>'COST RECONCILIATION'!E98</f>
        <v>0</v>
      </c>
      <c r="F98" s="44">
        <f>'COST RECONCILIATION'!F98</f>
        <v>0</v>
      </c>
      <c r="G98" s="44">
        <f>'COST RECONCILIATION'!G98</f>
        <v>0</v>
      </c>
    </row>
    <row r="99" spans="1:7" ht="10.5" customHeight="1">
      <c r="A99" s="43">
        <f>'COST RECONCILIATION'!A99</f>
        <v>5200</v>
      </c>
      <c r="B99" s="43" t="str">
        <f>'COST RECONCILIATION'!B99</f>
        <v>Screens - Sub</v>
      </c>
      <c r="C99" s="44">
        <f>'COST RECONCILIATION'!C99</f>
        <v>0</v>
      </c>
      <c r="D99" s="44">
        <f>'COST RECONCILIATION'!D99</f>
        <v>0</v>
      </c>
      <c r="E99" s="44">
        <f>'COST RECONCILIATION'!E99</f>
        <v>0</v>
      </c>
      <c r="F99" s="44">
        <f>'COST RECONCILIATION'!F99</f>
        <v>0</v>
      </c>
      <c r="G99" s="44">
        <f>'COST RECONCILIATION'!G99</f>
        <v>0</v>
      </c>
    </row>
    <row r="100" spans="1:7" ht="10.5" customHeight="1">
      <c r="A100" s="43">
        <f>'COST RECONCILIATION'!A100</f>
        <v>5220</v>
      </c>
      <c r="B100" s="43" t="str">
        <f>'COST RECONCILIATION'!B100</f>
        <v>Mailbox - Sub</v>
      </c>
      <c r="C100" s="44">
        <f>'COST RECONCILIATION'!C100</f>
        <v>0</v>
      </c>
      <c r="D100" s="44">
        <f>'COST RECONCILIATION'!D100</f>
        <v>0</v>
      </c>
      <c r="E100" s="44">
        <f>'COST RECONCILIATION'!E100</f>
        <v>0</v>
      </c>
      <c r="F100" s="44">
        <f>'COST RECONCILIATION'!F100</f>
        <v>0</v>
      </c>
      <c r="G100" s="44">
        <f>'COST RECONCILIATION'!G100</f>
        <v>0</v>
      </c>
    </row>
    <row r="101" spans="1:7" ht="10.5" customHeight="1">
      <c r="A101" s="43">
        <f>'COST RECONCILIATION'!A101</f>
        <v>5230</v>
      </c>
      <c r="B101" s="43" t="str">
        <f>'COST RECONCILIATION'!B101</f>
        <v>Wrought Iron - Sub</v>
      </c>
      <c r="C101" s="44">
        <f>'COST RECONCILIATION'!C101</f>
        <v>0</v>
      </c>
      <c r="D101" s="44">
        <f>'COST RECONCILIATION'!D101</f>
        <v>0</v>
      </c>
      <c r="E101" s="44">
        <f>'COST RECONCILIATION'!E101</f>
        <v>0</v>
      </c>
      <c r="F101" s="44">
        <f>'COST RECONCILIATION'!F101</f>
        <v>0</v>
      </c>
      <c r="G101" s="44">
        <f>'COST RECONCILIATION'!G101</f>
        <v>0</v>
      </c>
    </row>
    <row r="102" spans="1:7" ht="10.5" customHeight="1">
      <c r="A102" s="43">
        <f>'COST RECONCILIATION'!A102</f>
        <v>5240</v>
      </c>
      <c r="B102" s="43" t="str">
        <f>'COST RECONCILIATION'!B102</f>
        <v>Tub/Sink Repair - Sub</v>
      </c>
      <c r="C102" s="44">
        <f>'COST RECONCILIATION'!C102</f>
        <v>0</v>
      </c>
      <c r="D102" s="44">
        <f>'COST RECONCILIATION'!D102</f>
        <v>0</v>
      </c>
      <c r="E102" s="44">
        <f>'COST RECONCILIATION'!E102</f>
        <v>0</v>
      </c>
      <c r="F102" s="44">
        <f>'COST RECONCILIATION'!F102</f>
        <v>0</v>
      </c>
      <c r="G102" s="44">
        <f>'COST RECONCILIATION'!G102</f>
        <v>0</v>
      </c>
    </row>
    <row r="103" spans="1:7" ht="10.5" customHeight="1">
      <c r="A103" s="43">
        <f>'COST RECONCILIATION'!A103</f>
        <v>5270</v>
      </c>
      <c r="B103" s="43" t="str">
        <f>'COST RECONCILIATION'!B103</f>
        <v>Elevator - Sub</v>
      </c>
      <c r="C103" s="44">
        <f>'COST RECONCILIATION'!C103</f>
        <v>0</v>
      </c>
      <c r="D103" s="44">
        <f>'COST RECONCILIATION'!D103</f>
        <v>0</v>
      </c>
      <c r="E103" s="44">
        <f>'COST RECONCILIATION'!E103</f>
        <v>0</v>
      </c>
      <c r="F103" s="44">
        <f>'COST RECONCILIATION'!F103</f>
        <v>0</v>
      </c>
      <c r="G103" s="44">
        <f>'COST RECONCILIATION'!G103</f>
        <v>0</v>
      </c>
    </row>
    <row r="104" spans="1:7" ht="10.5" customHeight="1">
      <c r="A104" s="43">
        <f>'COST RECONCILIATION'!A104</f>
        <v>6040</v>
      </c>
      <c r="B104" s="43" t="str">
        <f>'COST RECONCILIATION'!B104</f>
        <v>Irrigation System - Sub</v>
      </c>
      <c r="C104" s="44">
        <f>'COST RECONCILIATION'!C104</f>
        <v>0</v>
      </c>
      <c r="D104" s="44">
        <f>'COST RECONCILIATION'!D104</f>
        <v>0</v>
      </c>
      <c r="E104" s="44">
        <f>'COST RECONCILIATION'!E104</f>
        <v>0</v>
      </c>
      <c r="F104" s="44">
        <f>'COST RECONCILIATION'!F104</f>
        <v>0</v>
      </c>
      <c r="G104" s="44">
        <f>'COST RECONCILIATION'!G104</f>
        <v>0</v>
      </c>
    </row>
    <row r="105" spans="1:7" ht="10.5" customHeight="1">
      <c r="A105" s="43">
        <f>'COST RECONCILIATION'!A105</f>
        <v>6050</v>
      </c>
      <c r="B105" s="43" t="str">
        <f>'COST RECONCILIATION'!B105</f>
        <v>Landscape - Sub</v>
      </c>
      <c r="C105" s="44">
        <f>'COST RECONCILIATION'!C105</f>
        <v>0</v>
      </c>
      <c r="D105" s="44">
        <f>'COST RECONCILIATION'!D105</f>
        <v>0</v>
      </c>
      <c r="E105" s="44">
        <f>'COST RECONCILIATION'!E105</f>
        <v>0</v>
      </c>
      <c r="F105" s="44">
        <f>'COST RECONCILIATION'!F105</f>
        <v>0</v>
      </c>
      <c r="G105" s="44">
        <f>'COST RECONCILIATION'!G105</f>
        <v>0</v>
      </c>
    </row>
    <row r="106" spans="1:7" ht="10.5" customHeight="1">
      <c r="A106" s="43">
        <f>'COST RECONCILIATION'!A106</f>
        <v>6060</v>
      </c>
      <c r="B106" s="43" t="str">
        <f>'COST RECONCILIATION'!B106</f>
        <v>Fence</v>
      </c>
      <c r="C106" s="44">
        <f>'COST RECONCILIATION'!C106</f>
        <v>0</v>
      </c>
      <c r="D106" s="44">
        <f>'COST RECONCILIATION'!D106</f>
        <v>0</v>
      </c>
      <c r="E106" s="44">
        <f>'COST RECONCILIATION'!E106</f>
        <v>0</v>
      </c>
      <c r="F106" s="44">
        <f>'COST RECONCILIATION'!F106</f>
        <v>0</v>
      </c>
      <c r="G106" s="44">
        <f>'COST RECONCILIATION'!G106</f>
        <v>0</v>
      </c>
    </row>
    <row r="107" spans="1:7" ht="10.5" customHeight="1">
      <c r="A107" s="43">
        <f>'COST RECONCILIATION'!A107</f>
        <v>6070</v>
      </c>
      <c r="B107" s="43" t="str">
        <f>'COST RECONCILIATION'!B107</f>
        <v>Window Clean - Sub</v>
      </c>
      <c r="C107" s="44">
        <f>'COST RECONCILIATION'!C107</f>
        <v>0</v>
      </c>
      <c r="D107" s="44">
        <f>'COST RECONCILIATION'!D107</f>
        <v>0</v>
      </c>
      <c r="E107" s="44">
        <f>'COST RECONCILIATION'!E107</f>
        <v>0</v>
      </c>
      <c r="F107" s="44">
        <f>'COST RECONCILIATION'!F107</f>
        <v>0</v>
      </c>
      <c r="G107" s="44">
        <f>'COST RECONCILIATION'!G107</f>
        <v>0</v>
      </c>
    </row>
    <row r="108" spans="1:7" ht="10.5" customHeight="1">
      <c r="A108" s="43">
        <f>'COST RECONCILIATION'!A108</f>
        <v>6080</v>
      </c>
      <c r="B108" s="43" t="str">
        <f>'COST RECONCILIATION'!B108</f>
        <v>Interior Clean - Sub</v>
      </c>
      <c r="C108" s="44">
        <f>'COST RECONCILIATION'!C108</f>
        <v>0</v>
      </c>
      <c r="D108" s="44">
        <f>'COST RECONCILIATION'!D108</f>
        <v>0</v>
      </c>
      <c r="E108" s="44">
        <f>'COST RECONCILIATION'!E108</f>
        <v>0</v>
      </c>
      <c r="F108" s="44">
        <f>'COST RECONCILIATION'!F108</f>
        <v>0</v>
      </c>
      <c r="G108" s="44">
        <f>'COST RECONCILIATION'!G108</f>
        <v>0</v>
      </c>
    </row>
    <row r="109" spans="1:7" ht="10.5" customHeight="1">
      <c r="A109" s="43">
        <f>'COST RECONCILIATION'!A109</f>
        <v>6090</v>
      </c>
      <c r="B109" s="43" t="str">
        <f>'COST RECONCILIATION'!B109</f>
        <v>Carpet Clean - Sub</v>
      </c>
      <c r="C109" s="44">
        <f>'COST RECONCILIATION'!C109</f>
        <v>0</v>
      </c>
      <c r="D109" s="44">
        <f>'COST RECONCILIATION'!D109</f>
        <v>0</v>
      </c>
      <c r="E109" s="44">
        <f>'COST RECONCILIATION'!E109</f>
        <v>0</v>
      </c>
      <c r="F109" s="44">
        <f>'COST RECONCILIATION'!F109</f>
        <v>0</v>
      </c>
      <c r="G109" s="44">
        <f>'COST RECONCILIATION'!G109</f>
        <v>0</v>
      </c>
    </row>
    <row r="110" spans="1:7" ht="10.5" customHeight="1">
      <c r="A110" s="43">
        <f>'COST RECONCILIATION'!A110</f>
        <v>6100</v>
      </c>
      <c r="B110" s="43" t="str">
        <f>'COST RECONCILIATION'!B110</f>
        <v>Pressure Wash - Sub</v>
      </c>
      <c r="C110" s="44">
        <f>'COST RECONCILIATION'!C110</f>
        <v>0</v>
      </c>
      <c r="D110" s="44">
        <f>'COST RECONCILIATION'!D110</f>
        <v>0</v>
      </c>
      <c r="E110" s="44">
        <f>'COST RECONCILIATION'!E110</f>
        <v>0</v>
      </c>
      <c r="F110" s="44">
        <f>'COST RECONCILIATION'!F110</f>
        <v>0</v>
      </c>
      <c r="G110" s="44">
        <f>'COST RECONCILIATION'!G110</f>
        <v>0</v>
      </c>
    </row>
    <row r="111" spans="1:7" ht="10.5" customHeight="1">
      <c r="A111" s="43">
        <f>'COST RECONCILIATION'!A111</f>
        <v>6110</v>
      </c>
      <c r="B111" s="43" t="str">
        <f>'COST RECONCILIATION'!B111</f>
        <v>Labor Cleanup / Punchout</v>
      </c>
      <c r="C111" s="44">
        <f>'COST RECONCILIATION'!C111</f>
        <v>0</v>
      </c>
      <c r="D111" s="44">
        <f>'COST RECONCILIATION'!D111</f>
        <v>0</v>
      </c>
      <c r="E111" s="44">
        <f>'COST RECONCILIATION'!E111</f>
        <v>0</v>
      </c>
      <c r="F111" s="44">
        <f>'COST RECONCILIATION'!F111</f>
        <v>0</v>
      </c>
      <c r="G111" s="44">
        <f>'COST RECONCILIATION'!G111</f>
        <v>0</v>
      </c>
    </row>
    <row r="112" spans="1:7" ht="10.5" customHeight="1">
      <c r="A112" s="43">
        <f>'COST RECONCILIATION'!A112</f>
        <v>7025</v>
      </c>
      <c r="B112" s="43" t="str">
        <f>'COST RECONCILIATION'!B112</f>
        <v>Utilities - Water/Sewer</v>
      </c>
      <c r="C112" s="44">
        <f>'COST RECONCILIATION'!C112</f>
        <v>0</v>
      </c>
      <c r="D112" s="44">
        <f>'COST RECONCILIATION'!D112</f>
        <v>0</v>
      </c>
      <c r="E112" s="44">
        <f>'COST RECONCILIATION'!E112</f>
        <v>0</v>
      </c>
      <c r="F112" s="44">
        <f>'COST RECONCILIATION'!F112</f>
        <v>0</v>
      </c>
      <c r="G112" s="44">
        <f>'COST RECONCILIATION'!G112</f>
        <v>0</v>
      </c>
    </row>
    <row r="113" spans="1:7" ht="10.5" customHeight="1">
      <c r="A113" s="43">
        <f>'COST RECONCILIATION'!A113</f>
        <v>7050</v>
      </c>
      <c r="B113" s="43" t="str">
        <f>'COST RECONCILIATION'!B113</f>
        <v>Pool, pavers, Fence</v>
      </c>
      <c r="C113" s="44">
        <f>'COST RECONCILIATION'!C113</f>
        <v>0</v>
      </c>
      <c r="D113" s="44">
        <f>'COST RECONCILIATION'!D113</f>
        <v>0</v>
      </c>
      <c r="E113" s="44">
        <f>'COST RECONCILIATION'!E113</f>
        <v>0</v>
      </c>
      <c r="F113" s="44">
        <f>'COST RECONCILIATION'!F113</f>
        <v>0</v>
      </c>
      <c r="G113" s="44">
        <f>'COST RECONCILIATION'!G113</f>
        <v>0</v>
      </c>
    </row>
    <row r="114" spans="1:7" ht="10.5" customHeight="1">
      <c r="A114" s="43">
        <f>'COST RECONCILIATION'!A114</f>
        <v>7055</v>
      </c>
      <c r="B114" s="43" t="str">
        <f>'COST RECONCILIATION'!B114</f>
        <v>Interior Upgrades</v>
      </c>
      <c r="C114" s="44">
        <f>'COST RECONCILIATION'!C114</f>
        <v>0</v>
      </c>
      <c r="D114" s="44">
        <f>'COST RECONCILIATION'!D114</f>
        <v>0</v>
      </c>
      <c r="E114" s="44">
        <f>'COST RECONCILIATION'!E114</f>
        <v>0</v>
      </c>
      <c r="F114" s="44">
        <f>'COST RECONCILIATION'!F114</f>
        <v>0</v>
      </c>
      <c r="G114" s="44">
        <f>'COST RECONCILIATION'!G114</f>
        <v>0</v>
      </c>
    </row>
    <row r="115" spans="1:7" ht="10.5" customHeight="1">
      <c r="A115" s="43">
        <f>'COST RECONCILIATION'!A115</f>
        <v>7060</v>
      </c>
      <c r="B115" s="43" t="str">
        <f>'COST RECONCILIATION'!B115</f>
        <v>Exterior Upgrades</v>
      </c>
      <c r="C115" s="44">
        <f>'COST RECONCILIATION'!C115</f>
        <v>0</v>
      </c>
      <c r="D115" s="44">
        <f>'COST RECONCILIATION'!D115</f>
        <v>0</v>
      </c>
      <c r="E115" s="44">
        <f>'COST RECONCILIATION'!E115</f>
        <v>0</v>
      </c>
      <c r="F115" s="44">
        <f>'COST RECONCILIATION'!F115</f>
        <v>0</v>
      </c>
      <c r="G115" s="44">
        <f>'COST RECONCILIATION'!G115</f>
        <v>0</v>
      </c>
    </row>
    <row r="116" spans="1:7" ht="10.5" customHeight="1">
      <c r="A116" s="43">
        <f>'COST RECONCILIATION'!A116</f>
        <v>7080</v>
      </c>
      <c r="B116" s="43" t="str">
        <f>'COST RECONCILIATION'!B116</f>
        <v>Design Fee</v>
      </c>
      <c r="C116" s="44">
        <f>'COST RECONCILIATION'!C116</f>
        <v>0</v>
      </c>
      <c r="D116" s="44">
        <f>'COST RECONCILIATION'!D116</f>
        <v>0</v>
      </c>
      <c r="E116" s="44">
        <f>'COST RECONCILIATION'!E116</f>
        <v>0</v>
      </c>
      <c r="F116" s="44">
        <f>'COST RECONCILIATION'!F116</f>
        <v>0</v>
      </c>
      <c r="G116" s="44">
        <f>'COST RECONCILIATION'!G116</f>
        <v>0</v>
      </c>
    </row>
    <row r="117" spans="1:7" ht="10.5" customHeight="1">
      <c r="A117" s="43">
        <f>'COST RECONCILIATION'!A117</f>
        <v>7082</v>
      </c>
      <c r="B117" s="43" t="str">
        <f>'COST RECONCILIATION'!B117</f>
        <v>Sales Commission</v>
      </c>
      <c r="C117" s="44">
        <f>'COST RECONCILIATION'!C117</f>
        <v>0</v>
      </c>
      <c r="D117" s="44">
        <f>'COST RECONCILIATION'!D117</f>
        <v>0</v>
      </c>
      <c r="E117" s="44">
        <f>'COST RECONCILIATION'!E117</f>
        <v>0</v>
      </c>
      <c r="F117" s="44">
        <f>'COST RECONCILIATION'!F117</f>
        <v>0</v>
      </c>
      <c r="G117" s="44">
        <f>'COST RECONCILIATION'!G117</f>
        <v>0</v>
      </c>
    </row>
    <row r="118" spans="1:7" ht="10.5" customHeight="1">
      <c r="A118" s="43">
        <f>'COST RECONCILIATION'!A118</f>
        <v>9999</v>
      </c>
      <c r="B118" s="43" t="str">
        <f>'COST RECONCILIATION'!B118</f>
        <v>Transfer WIP to CGS</v>
      </c>
      <c r="C118" s="44">
        <f>'COST RECONCILIATION'!C118</f>
        <v>0</v>
      </c>
      <c r="D118" s="44">
        <f>'COST RECONCILIATION'!D118</f>
        <v>0</v>
      </c>
      <c r="E118" s="44">
        <f>'COST RECONCILIATION'!E118</f>
        <v>0</v>
      </c>
      <c r="F118" s="44">
        <f>'COST RECONCILIATION'!F118</f>
        <v>0</v>
      </c>
      <c r="G118" s="44">
        <f>'COST RECONCILIATION'!G118</f>
        <v>0</v>
      </c>
    </row>
  </sheetData>
  <mergeCells count="2">
    <mergeCell ref="A1:G2"/>
    <mergeCell ref="A3:G3"/>
  </mergeCells>
  <conditionalFormatting sqref="G6:G118">
    <cfRule type="cellIs" dxfId="0" priority="1" operator="greaterThan">
      <formula>0</formula>
    </cfRule>
  </conditionalFormatting>
  <printOptions horizontalCentered="1"/>
  <pageMargins left="0.3" right="0.3" top="0.35" bottom="0.35" header="0.15" footer="0.15"/>
  <pageSetup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START HERE</vt:lpstr>
      <vt:lpstr>Project Setup</vt:lpstr>
      <vt:lpstr>BUDGET</vt:lpstr>
      <vt:lpstr>QB JOB COST IMPORT</vt:lpstr>
      <vt:lpstr>COST RECONCILIATION</vt:lpstr>
      <vt:lpstr>DRAW HISTORY</vt:lpstr>
      <vt:lpstr>ESTIMATE</vt:lpstr>
      <vt:lpstr>INVOICE</vt:lpstr>
      <vt:lpstr>INVOICE DETAIL</vt:lpstr>
      <vt:lpstr>ESTIMATE!Print_Area</vt:lpstr>
      <vt:lpstr>INVOICE!Print_Area</vt:lpstr>
      <vt:lpstr>'INVOICE DETAIL'!Print_Area</vt:lpstr>
      <vt:lpstr>'INVOICE DETAIL'!Print_Titles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Leibee</dc:creator>
  <cp:lastModifiedBy>Blake Leibee</cp:lastModifiedBy>
  <dcterms:created xsi:type="dcterms:W3CDTF">2026-07-28T17:07:25Z</dcterms:created>
  <dcterms:modified xsi:type="dcterms:W3CDTF">2026-07-28T17:07:25Z</dcterms:modified>
</cp:coreProperties>
</file>